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borges\Documents\Prominas\"/>
    </mc:Choice>
  </mc:AlternateContent>
  <xr:revisionPtr revIDLastSave="0" documentId="13_ncr:1_{CDFEAC99-BDEB-4447-8F15-13F0034D054A}" xr6:coauthVersionLast="47" xr6:coauthVersionMax="47" xr10:uidLastSave="{00000000-0000-0000-0000-000000000000}"/>
  <bookViews>
    <workbookView xWindow="28680" yWindow="-120" windowWidth="29040" windowHeight="15720" xr2:uid="{B587102F-306A-40FD-97CF-881DBE832FD8}"/>
  </bookViews>
  <sheets>
    <sheet name="Vendas_V2" sheetId="2" r:id="rId1"/>
    <sheet name="Resumo_Geral_Vendas" sheetId="8" r:id="rId2"/>
    <sheet name="Hotzones gerais por região" sheetId="9" r:id="rId3"/>
    <sheet name="Hotzones_Macroregião" sheetId="10" r:id="rId4"/>
    <sheet name="Vendas X Cidades" sheetId="11" r:id="rId5"/>
    <sheet name="Ranking_Equipamentos" sheetId="12" r:id="rId6"/>
    <sheet name="Segmentos por Mercado" sheetId="13" r:id="rId7"/>
    <sheet name="Equip_lider_região" sheetId="14" r:id="rId8"/>
    <sheet name="Equip_model_região" sheetId="15" r:id="rId9"/>
  </sheets>
  <definedNames>
    <definedName name="_xlnm._FilterDatabase" localSheetId="0" hidden="1">Vendas_V2!$A$1:$E$45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<sst xmlns="http://schemas.openxmlformats.org/spreadsheetml/2006/main" count="422" uniqueCount="160">
  <si>
    <t>Equipamento</t>
  </si>
  <si>
    <t>Quantidade</t>
  </si>
  <si>
    <t>Segmento</t>
  </si>
  <si>
    <t>Cidade</t>
  </si>
  <si>
    <t>Estado</t>
  </si>
  <si>
    <t>Bombas</t>
  </si>
  <si>
    <t>JUARA</t>
  </si>
  <si>
    <t>MT</t>
  </si>
  <si>
    <t>ARACAJU</t>
  </si>
  <si>
    <t>SE</t>
  </si>
  <si>
    <t>Goiania</t>
  </si>
  <si>
    <t>GO</t>
  </si>
  <si>
    <t>BOMBA CENTR.BCP-1334-FL.P/MOTOR HIDR.</t>
  </si>
  <si>
    <t>ARAGUARI</t>
  </si>
  <si>
    <t>MG</t>
  </si>
  <si>
    <t>BOMBA DE VACUO ANEL LIQ.1230 HOR.</t>
  </si>
  <si>
    <t>LONDRINA</t>
  </si>
  <si>
    <t>PR</t>
  </si>
  <si>
    <t>BPS-332</t>
  </si>
  <si>
    <t>UBERABA</t>
  </si>
  <si>
    <t>BPS-332-080-MP</t>
  </si>
  <si>
    <t>CANDEIAS</t>
  </si>
  <si>
    <t>BA</t>
  </si>
  <si>
    <t>BPS-363-BP</t>
  </si>
  <si>
    <t>ARROIO DO MEIO</t>
  </si>
  <si>
    <t>RS</t>
  </si>
  <si>
    <t>CXA-200NN</t>
  </si>
  <si>
    <t>CABO DE SANTO AGOSTINHO</t>
  </si>
  <si>
    <t>PE</t>
  </si>
  <si>
    <t>Filtro para vinho 300 m³/h</t>
  </si>
  <si>
    <t>Solido/liquido</t>
  </si>
  <si>
    <t>JACAREZINHO</t>
  </si>
  <si>
    <t>Filtro para vinho 500 m³/h</t>
  </si>
  <si>
    <t>JOAO PINHEIRO</t>
  </si>
  <si>
    <t>GMP-015-US</t>
  </si>
  <si>
    <t>Perfuração</t>
  </si>
  <si>
    <t>Maringá</t>
  </si>
  <si>
    <t>Moto bomba BPS-334</t>
  </si>
  <si>
    <t>Guarulhos</t>
  </si>
  <si>
    <t>SP</t>
  </si>
  <si>
    <t>PIRACICABA</t>
  </si>
  <si>
    <t>PCP-1400L</t>
  </si>
  <si>
    <t>Sao Paulo</t>
  </si>
  <si>
    <t>PE-20</t>
  </si>
  <si>
    <t>Ribeirão Preto</t>
  </si>
  <si>
    <t>VINHEDO</t>
  </si>
  <si>
    <t>PE-40</t>
  </si>
  <si>
    <t>BEBEDOURO</t>
  </si>
  <si>
    <t>PE-80</t>
  </si>
  <si>
    <t>AMPARO</t>
  </si>
  <si>
    <t>BELO HORIZONTE</t>
  </si>
  <si>
    <t>SAO JOSE DO BELMONTE</t>
  </si>
  <si>
    <t>PERFURATRIZ ROTO PNEUMATICA, MODELO R-1H-BX.N2, COMPLETA</t>
  </si>
  <si>
    <t>Brumado</t>
  </si>
  <si>
    <t>PERFURATRIZ ROTO PNEUMATICA, MODELO R-3H.1, COMPLETA</t>
  </si>
  <si>
    <t>PTRAT-125</t>
  </si>
  <si>
    <t>GARCA</t>
  </si>
  <si>
    <t>CAMPOS DOS GOYTACAZES</t>
  </si>
  <si>
    <t>RJ</t>
  </si>
  <si>
    <t>PTRAT-200N</t>
  </si>
  <si>
    <t>INDAIATUBA</t>
  </si>
  <si>
    <t>R-1HBX</t>
  </si>
  <si>
    <t>CUIABA</t>
  </si>
  <si>
    <t>R-1HBX - Comboio</t>
  </si>
  <si>
    <t>Curitiba</t>
  </si>
  <si>
    <t>R-1S</t>
  </si>
  <si>
    <t>R-1SC - Comboio</t>
  </si>
  <si>
    <t>RECIFE</t>
  </si>
  <si>
    <t>TAUA</t>
  </si>
  <si>
    <t>CE</t>
  </si>
  <si>
    <t>R-3H</t>
  </si>
  <si>
    <t>R-4HS</t>
  </si>
  <si>
    <t>MAR DEL PLATA</t>
  </si>
  <si>
    <t>AR</t>
  </si>
  <si>
    <t>CORDOBA</t>
  </si>
  <si>
    <t>BUENOS AIRES</t>
  </si>
  <si>
    <t>CH</t>
  </si>
  <si>
    <t>SANTIAGO</t>
  </si>
  <si>
    <t>JUJUY</t>
  </si>
  <si>
    <t>BOMBA CENTR.BCP 1334-80</t>
  </si>
  <si>
    <t>MOTOBOMBA BPS-332-080</t>
  </si>
  <si>
    <t>PERFURAT.R-1H-BX</t>
  </si>
  <si>
    <t xml:space="preserve">PERFURAT.R-1H-BX </t>
  </si>
  <si>
    <t>PERFURATRIZ R-1S</t>
  </si>
  <si>
    <t xml:space="preserve">PTRAT-160 G </t>
  </si>
  <si>
    <t>R-0</t>
  </si>
  <si>
    <t>Vendas</t>
  </si>
  <si>
    <t>Vinhedo</t>
  </si>
  <si>
    <t>Belo Horizonte</t>
  </si>
  <si>
    <t>Campos dos Goytacazes</t>
  </si>
  <si>
    <t>PTRAT-160 G</t>
  </si>
  <si>
    <t>Região</t>
  </si>
  <si>
    <t>Equipamento líder</t>
  </si>
  <si>
    <t>Vendas do líder</t>
  </si>
  <si>
    <t>Sudeste</t>
  </si>
  <si>
    <t>Nordeste</t>
  </si>
  <si>
    <t>Sul</t>
  </si>
  <si>
    <t>Centro-Oeste</t>
  </si>
  <si>
    <t>Norte</t>
  </si>
  <si>
    <t>—</t>
  </si>
  <si>
    <t>Indicador</t>
  </si>
  <si>
    <t>Valor</t>
  </si>
  <si>
    <t>Total de vendas</t>
  </si>
  <si>
    <t>Brasil</t>
  </si>
  <si>
    <t>Exterior</t>
  </si>
  <si>
    <t>UFs brasileiras cobertas</t>
  </si>
  <si>
    <t>11 de 27</t>
  </si>
  <si>
    <t>Cobertura nacional</t>
  </si>
  <si>
    <t>Segmentos com vendas no Brasil</t>
  </si>
  <si>
    <t>Países/mercados externos com vendas</t>
  </si>
  <si>
    <t>Mercado</t>
  </si>
  <si>
    <t>Cidades atendidas</t>
  </si>
  <si>
    <t>Equipamentos distintos</t>
  </si>
  <si>
    <t>Macro-região</t>
  </si>
  <si>
    <t>Participação no Brasil</t>
  </si>
  <si>
    <t>Buenos Aires</t>
  </si>
  <si>
    <t>Córdoba</t>
  </si>
  <si>
    <t>Amparo</t>
  </si>
  <si>
    <t>Aracaju</t>
  </si>
  <si>
    <t>Araguari</t>
  </si>
  <si>
    <t>Arroio do Meio</t>
  </si>
  <si>
    <t>Bebedouro</t>
  </si>
  <si>
    <t>Cabo de Santo Agostinho</t>
  </si>
  <si>
    <t>Candeias</t>
  </si>
  <si>
    <t>Cuiabá</t>
  </si>
  <si>
    <t>Garça</t>
  </si>
  <si>
    <t>Goiânia</t>
  </si>
  <si>
    <t>Indaiatuba</t>
  </si>
  <si>
    <t>Jacarezinho</t>
  </si>
  <si>
    <t>João Pinheiro</t>
  </si>
  <si>
    <t>Juara</t>
  </si>
  <si>
    <t>Jujuy</t>
  </si>
  <si>
    <t>Londrina</t>
  </si>
  <si>
    <t>Mar del Plata</t>
  </si>
  <si>
    <t>Piracicaba</t>
  </si>
  <si>
    <t>Recife</t>
  </si>
  <si>
    <t>Santiago</t>
  </si>
  <si>
    <t>São José do Belmonte</t>
  </si>
  <si>
    <t>São Paulo</t>
  </si>
  <si>
    <t>Tauá</t>
  </si>
  <si>
    <t>Uberaba</t>
  </si>
  <si>
    <t>Sólido/líquido</t>
  </si>
  <si>
    <t>Segmento líder</t>
  </si>
  <si>
    <t>Bombas / Perfuração</t>
  </si>
  <si>
    <t>Equipamentos vendidos</t>
  </si>
  <si>
    <t>PE-20 (4); MOTOBOMBA BPS-332-080 (1); Moto bomba BPS-334 (1); PCP-1400L (1); PE-40 (1); PE-80 (1); PTRAT-125 (1); PTRAT-200N (1)</t>
  </si>
  <si>
    <t>R-1HBX - Comboio (2); BOMBA DE VACUO ANEL LIQ.1230 HOR. (1); Filtro para vinho 300 m³/h (1); GMP-015-US (1); R-1SC - Comboio (1); R-4HS (1)</t>
  </si>
  <si>
    <t>R-3H (4); PERFURAT.R-1H-BX (1); R-1S (1)</t>
  </si>
  <si>
    <t>PERFURAT.R-1H-BX (2); BOMBA CENTR.BCP-1334-FL.P/MOTOR HIDR. (1); BPS-332 (1); Filtro para vinho 500 m³/h (1)</t>
  </si>
  <si>
    <t>BPS-332-080-MP (1); PERFURATRIZ ROTO PNEUMATICA, MODELO R-1H-BX.N2, COMPLETA (1); PERFURATRIZ ROTO PNEUMATICA, MODELO R-3H.1, COMPLETA (1)</t>
  </si>
  <si>
    <t>CXA-200NN (1); PERFURATRIZ R-1S (1); R-1SC - Comboio (1)</t>
  </si>
  <si>
    <t>BOMBA CENTR.BCP 1334-80 (1); R-1HBX (1)</t>
  </si>
  <si>
    <t>PTRAT-160 G (2)</t>
  </si>
  <si>
    <t>R-1SC - Comboio (1)</t>
  </si>
  <si>
    <t>R-0 (1)</t>
  </si>
  <si>
    <t>BOMBA CENTR.BCP 1334-80 (1)</t>
  </si>
  <si>
    <t>BPS-363-BP (1)</t>
  </si>
  <si>
    <t>PERFURATRIZ ROTO PNEUMATICA, R-3H.1, COMPLETA, MODELO R-1H-BX.N2, COMPLETA, BPS-332-080-MP</t>
  </si>
  <si>
    <t>BPS-332-080-MP, PERFURATRIZ R-1S, R-1SC - Comboio</t>
  </si>
  <si>
    <t>BOMBA CENTR.BCP 1334-80, R-1HBX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</si>
</sst>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vertical="center" wrapText="1"/>
    </xf>
    <xf numFmtId="0" fontId="0" fillId="0" borderId="5" xfId="0" applyBorder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Resumo_Geral_Vendas!$B$1</c:f>
              <c:strCache>
                <c:ptCount val="1"/>
                <c:pt idx="0">
                  <c:v>Valor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Resumo_Geral_Vendas!$A$2:$A$8</c:f>
              <c:strCache>
                <c:ptCount val="7"/>
                <c:pt idx="0">
                  <c:v>Total de vendas</c:v>
                </c:pt>
                <c:pt idx="1">
                  <c:v>Brasil</c:v>
                </c:pt>
                <c:pt idx="2">
                  <c:v>Exterior</c:v>
                </c:pt>
                <c:pt idx="3">
                  <c:v>UFs brasileiras cobertas</c:v>
                </c:pt>
                <c:pt idx="4">
                  <c:v>Cobertura nacional</c:v>
                </c:pt>
                <c:pt idx="5">
                  <c:v>Segmentos com vendas no Brasil</c:v>
                </c:pt>
                <c:pt idx="6">
                  <c:v>Países/mercados externos com vendas</c:v>
                </c:pt>
              </c:strCache>
            </c:strRef>
          </c:cat>
          <c:val>
            <c:numRef>
              <c:f>Resumo_Geral_Vendas!$B$2:$B$8</c:f>
              <c:numCache>
                <c:formatCode>General</c:formatCode>
                <c:ptCount val="7"/>
                <c:pt idx="0">
                  <c:v>44</c:v>
                </c:pt>
                <c:pt idx="1">
                  <c:v>37</c:v>
                </c:pt>
                <c:pt idx="2">
                  <c:v>7</c:v>
                </c:pt>
                <c:pt idx="3">
                  <c:v>0</c:v>
                </c:pt>
                <c:pt idx="4" formatCode="0.00%">
                  <c:v>0.40699999999999997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6-423E-B5ED-986710C67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Hotzones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8405973901149678E-2"/>
          <c:y val="1.7642396179095295E-2"/>
          <c:w val="0.93159402609885034"/>
          <c:h val="0.67923667898552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'Hotzones gerais por região'!$C$1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'Hotzones gerais por região'!$A$2:$B$14</c:f>
              <c:multiLvlStrCache>
                <c:ptCount val="13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Exterior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Exterior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</c:lvl>
                <c:lvl>
                  <c:pt idx="0">
                    <c:v>SP</c:v>
                  </c:pt>
                  <c:pt idx="1">
                    <c:v>PR</c:v>
                  </c:pt>
                  <c:pt idx="2">
                    <c:v>AR</c:v>
                  </c:pt>
                  <c:pt idx="3">
                    <c:v>MG</c:v>
                  </c:pt>
                  <c:pt idx="4">
                    <c:v>BA</c:v>
                  </c:pt>
                  <c:pt idx="5">
                    <c:v>PE</c:v>
                  </c:pt>
                  <c:pt idx="6">
                    <c:v>MT</c:v>
                  </c:pt>
                  <c:pt idx="7">
                    <c:v>RJ</c:v>
                  </c:pt>
                  <c:pt idx="8">
                    <c:v>CE</c:v>
                  </c:pt>
                  <c:pt idx="9">
                    <c:v>CH</c:v>
                  </c:pt>
                  <c:pt idx="10">
                    <c:v>GO</c:v>
                  </c:pt>
                  <c:pt idx="11">
                    <c:v>RS</c:v>
                  </c:pt>
                  <c:pt idx="12">
                    <c:v>SE</c:v>
                  </c:pt>
                </c:lvl>
              </c:multiLvlStrCache>
            </c:multiLvlStrRef>
          </c:cat>
          <c:val>
            <c:numRef>
              <c:f>'Hotzones gerais por região'!$C$2:$C$14</c:f>
              <c:numCache>
                <c:formatCode>General</c:formatCode>
                <c:ptCount val="13"/>
                <c:pt idx="0">
                  <c:v>11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C-4C95-838A-ED4F2DCF423B}"/>
            </c:ext>
          </c:extLst>
        </c:ser>
        <c:ser>
          <c:idx val="1"/>
          <c:order val="1"/>
          <c:tx>
            <c:strRef>
              <c:f>'Hotzones gerais por região'!$D$1</c:f>
              <c:strCache>
                <c:ptCount val="1"/>
                <c:pt idx="0">
                  <c:v>Cidades atendidas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'Hotzones gerais por região'!$A$2:$B$14</c:f>
              <c:multiLvlStrCache>
                <c:ptCount val="13"/>
                <c:lvl>
                  <c:pt idx="0">
                    <c:v>Brasil</c:v>
                  </c:pt>
                  <c:pt idx="1">
                    <c:v>Brasil</c:v>
                  </c:pt>
                  <c:pt idx="2">
                    <c:v>Exterior</c:v>
                  </c:pt>
                  <c:pt idx="3">
                    <c:v>Brasil</c:v>
                  </c:pt>
                  <c:pt idx="4">
                    <c:v>Brasil</c:v>
                  </c:pt>
                  <c:pt idx="5">
                    <c:v>Brasil</c:v>
                  </c:pt>
                  <c:pt idx="6">
                    <c:v>Brasil</c:v>
                  </c:pt>
                  <c:pt idx="7">
                    <c:v>Brasil</c:v>
                  </c:pt>
                  <c:pt idx="8">
                    <c:v>Brasil</c:v>
                  </c:pt>
                  <c:pt idx="9">
                    <c:v>Exterior</c:v>
                  </c:pt>
                  <c:pt idx="10">
                    <c:v>Brasil</c:v>
                  </c:pt>
                  <c:pt idx="11">
                    <c:v>Brasil</c:v>
                  </c:pt>
                  <c:pt idx="12">
                    <c:v>Brasil</c:v>
                  </c:pt>
                </c:lvl>
                <c:lvl>
                  <c:pt idx="0">
                    <c:v>SP</c:v>
                  </c:pt>
                  <c:pt idx="1">
                    <c:v>PR</c:v>
                  </c:pt>
                  <c:pt idx="2">
                    <c:v>AR</c:v>
                  </c:pt>
                  <c:pt idx="3">
                    <c:v>MG</c:v>
                  </c:pt>
                  <c:pt idx="4">
                    <c:v>BA</c:v>
                  </c:pt>
                  <c:pt idx="5">
                    <c:v>PE</c:v>
                  </c:pt>
                  <c:pt idx="6">
                    <c:v>MT</c:v>
                  </c:pt>
                  <c:pt idx="7">
                    <c:v>RJ</c:v>
                  </c:pt>
                  <c:pt idx="8">
                    <c:v>CE</c:v>
                  </c:pt>
                  <c:pt idx="9">
                    <c:v>CH</c:v>
                  </c:pt>
                  <c:pt idx="10">
                    <c:v>GO</c:v>
                  </c:pt>
                  <c:pt idx="11">
                    <c:v>RS</c:v>
                  </c:pt>
                  <c:pt idx="12">
                    <c:v>SE</c:v>
                  </c:pt>
                </c:lvl>
              </c:multiLvlStrCache>
            </c:multiLvlStrRef>
          </c:cat>
          <c:val>
            <c:numRef>
              <c:f>'Hotzones gerais por região'!$D$2:$D$14</c:f>
              <c:numCache>
                <c:formatCode>General</c:formatCode>
                <c:ptCount val="13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EC-4C95-838A-ED4F2DCF4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394303"/>
        <c:axId val="2023396703"/>
      </c:barChart>
      <c:catAx>
        <c:axId val="202339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396703"/>
        <c:crosses val="autoZero"/>
        <c:auto val="1"/>
        <c:lblAlgn val="ctr"/>
        <c:lblOffset val="100"/>
        <c:noMultiLvlLbl val="0"/>
      </c:catAx>
      <c:valAx>
        <c:axId val="20233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39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Hotzones Macroegiões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Hotzones_Macroregião!$B$1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Hotzones_Macroregião!$A$2:$A$6</c:f>
              <c:strCache>
                <c:ptCount val="5"/>
                <c:pt idx="0">
                  <c:v>Sudeste</c:v>
                </c:pt>
                <c:pt idx="1">
                  <c:v>Nordeste</c:v>
                </c:pt>
                <c:pt idx="2">
                  <c:v>Sul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Hotzones_Macroregião!$B$2:$B$6</c:f>
              <c:numCache>
                <c:formatCode>General</c:formatCode>
                <c:ptCount val="5"/>
                <c:pt idx="0">
                  <c:v>18</c:v>
                </c:pt>
                <c:pt idx="1">
                  <c:v>8</c:v>
                </c:pt>
                <c:pt idx="2">
                  <c:v>8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9D-4A28-A3A5-037F1BFE40E3}"/>
            </c:ext>
          </c:extLst>
        </c:ser>
        <c:ser>
          <c:idx val="1"/>
          <c:order val="1"/>
          <c:tx>
            <c:strRef>
              <c:f>Hotzones_Macroregião!$C$1</c:f>
              <c:strCache>
                <c:ptCount val="1"/>
                <c:pt idx="0">
                  <c:v>Participação no Brasil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Hotzones_Macroregião!$A$2:$A$6</c:f>
              <c:strCache>
                <c:ptCount val="5"/>
                <c:pt idx="0">
                  <c:v>Sudeste</c:v>
                </c:pt>
                <c:pt idx="1">
                  <c:v>Nordeste</c:v>
                </c:pt>
                <c:pt idx="2">
                  <c:v>Sul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Hotzones_Macroregião!$C$2:$C$6</c:f>
              <c:numCache>
                <c:formatCode>0.00%</c:formatCode>
                <c:ptCount val="5"/>
                <c:pt idx="0">
                  <c:v>0.48599999999999999</c:v>
                </c:pt>
                <c:pt idx="1">
                  <c:v>0.216</c:v>
                </c:pt>
                <c:pt idx="2">
                  <c:v>0.216</c:v>
                </c:pt>
                <c:pt idx="3">
                  <c:v>8.1000000000000003E-2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9D-4A28-A3A5-037F1BFE40E3}"/>
            </c:ext>
          </c:extLst>
        </c:ser>
        <c:ser>
          <c:idx val="2"/>
          <c:order val="2"/>
          <c:tx>
            <c:strRef>
              <c:f>Hotzones_Macroregião!$D$1</c:f>
              <c:strCache>
                <c:ptCount val="1"/>
                <c:pt idx="0">
                  <c:v>Equipamento líder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Hotzones_Macroregião!$A$2:$A$6</c:f>
              <c:strCache>
                <c:ptCount val="5"/>
                <c:pt idx="0">
                  <c:v>Sudeste</c:v>
                </c:pt>
                <c:pt idx="1">
                  <c:v>Nordeste</c:v>
                </c:pt>
                <c:pt idx="2">
                  <c:v>Sul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Hotzones_Macroregião!$D$2:$D$6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9D-4A28-A3A5-037F1BFE40E3}"/>
            </c:ext>
          </c:extLst>
        </c:ser>
        <c:ser>
          <c:idx val="3"/>
          <c:order val="3"/>
          <c:tx>
            <c:strRef>
              <c:f>Hotzones_Macroregião!$E$1</c:f>
              <c:strCache>
                <c:ptCount val="1"/>
                <c:pt idx="0">
                  <c:v>Vendas do líder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Hotzones_Macroregião!$A$2:$A$6</c:f>
              <c:strCache>
                <c:ptCount val="5"/>
                <c:pt idx="0">
                  <c:v>Sudeste</c:v>
                </c:pt>
                <c:pt idx="1">
                  <c:v>Nordeste</c:v>
                </c:pt>
                <c:pt idx="2">
                  <c:v>Sul</c:v>
                </c:pt>
                <c:pt idx="3">
                  <c:v>Centro-Oeste</c:v>
                </c:pt>
                <c:pt idx="4">
                  <c:v>Norte</c:v>
                </c:pt>
              </c:strCache>
            </c:strRef>
          </c:cat>
          <c:val>
            <c:numRef>
              <c:f>Hotzones_Macroregião!$E$2:$E$6</c:f>
              <c:numCache>
                <c:formatCode>General</c:formatCode>
                <c:ptCount val="5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9D-4A28-A3A5-037F1BFE4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3365023"/>
        <c:axId val="2023374623"/>
      </c:barChart>
      <c:catAx>
        <c:axId val="202336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374623"/>
        <c:crosses val="autoZero"/>
        <c:auto val="1"/>
        <c:lblAlgn val="ctr"/>
        <c:lblOffset val="100"/>
        <c:noMultiLvlLbl val="0"/>
      </c:catAx>
      <c:valAx>
        <c:axId val="20233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36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'Vendas X Cidades'!$C$1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'Vendas X Cidades'!$A$2:$B$35</c15:sqref>
                  </c15:fullRef>
                  <c15:levelRef>
                    <c15:sqref>'Vendas X Cidades'!$A$2:$A$35</c15:sqref>
                  </c15:levelRef>
                </c:ext>
              </c:extLst>
              <c:f>'Vendas X Cidades'!$A$2:$A$35</c:f>
              <c:strCache>
                <c:ptCount val="34"/>
                <c:pt idx="0">
                  <c:v>Curitiba</c:v>
                </c:pt>
                <c:pt idx="1">
                  <c:v>Vinhedo</c:v>
                </c:pt>
                <c:pt idx="2">
                  <c:v>Buenos Aires</c:v>
                </c:pt>
                <c:pt idx="3">
                  <c:v>Córdoba</c:v>
                </c:pt>
                <c:pt idx="4">
                  <c:v>Brumado</c:v>
                </c:pt>
                <c:pt idx="5">
                  <c:v>Belo Horizonte</c:v>
                </c:pt>
                <c:pt idx="6">
                  <c:v>Maringá</c:v>
                </c:pt>
                <c:pt idx="7">
                  <c:v>Campos dos Goytacazes</c:v>
                </c:pt>
                <c:pt idx="8">
                  <c:v>Amparo</c:v>
                </c:pt>
                <c:pt idx="9">
                  <c:v>Aracaju</c:v>
                </c:pt>
                <c:pt idx="10">
                  <c:v>Araguari</c:v>
                </c:pt>
                <c:pt idx="11">
                  <c:v>Arroio do Meio</c:v>
                </c:pt>
                <c:pt idx="12">
                  <c:v>Bebedouro</c:v>
                </c:pt>
                <c:pt idx="13">
                  <c:v>Cabo de Santo Agostinho</c:v>
                </c:pt>
                <c:pt idx="14">
                  <c:v>Candeias</c:v>
                </c:pt>
                <c:pt idx="15">
                  <c:v>Cuiabá</c:v>
                </c:pt>
                <c:pt idx="16">
                  <c:v>Garça</c:v>
                </c:pt>
                <c:pt idx="17">
                  <c:v>Goiânia</c:v>
                </c:pt>
                <c:pt idx="18">
                  <c:v>Guarulhos</c:v>
                </c:pt>
                <c:pt idx="19">
                  <c:v>Indaiatuba</c:v>
                </c:pt>
                <c:pt idx="20">
                  <c:v>Jacarezinho</c:v>
                </c:pt>
                <c:pt idx="21">
                  <c:v>João Pinheiro</c:v>
                </c:pt>
                <c:pt idx="22">
                  <c:v>Juara</c:v>
                </c:pt>
                <c:pt idx="23">
                  <c:v>Jujuy</c:v>
                </c:pt>
                <c:pt idx="24">
                  <c:v>Londrina</c:v>
                </c:pt>
                <c:pt idx="25">
                  <c:v>Mar del Plata</c:v>
                </c:pt>
                <c:pt idx="26">
                  <c:v>Piracicaba</c:v>
                </c:pt>
                <c:pt idx="27">
                  <c:v>Recife</c:v>
                </c:pt>
                <c:pt idx="28">
                  <c:v>Ribeirão Preto</c:v>
                </c:pt>
                <c:pt idx="29">
                  <c:v>Santiago</c:v>
                </c:pt>
                <c:pt idx="30">
                  <c:v>São José do Belmonte</c:v>
                </c:pt>
                <c:pt idx="31">
                  <c:v>São Paulo</c:v>
                </c:pt>
                <c:pt idx="32">
                  <c:v>Tauá</c:v>
                </c:pt>
                <c:pt idx="33">
                  <c:v>Uberaba</c:v>
                </c:pt>
              </c:strCache>
            </c:strRef>
          </c:cat>
          <c:val>
            <c:numRef>
              <c:f>'Vendas X Cidades'!$C$2:$C$35</c:f>
              <c:numCache>
                <c:formatCode>General</c:formatCode>
                <c:ptCount val="3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2-499B-9086-136CD8D1E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1976479"/>
        <c:axId val="1701971199"/>
      </c:barChart>
      <c:catAx>
        <c:axId val="170197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1971199"/>
        <c:crosses val="autoZero"/>
        <c:auto val="1"/>
        <c:lblAlgn val="ctr"/>
        <c:lblOffset val="100"/>
        <c:noMultiLvlLbl val="0"/>
      </c:catAx>
      <c:valAx>
        <c:axId val="170197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197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Ranking_Equipamentos!$B$1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Ranking_Equipamentos!$A$2:$A$31</c:f>
              <c:strCache>
                <c:ptCount val="30"/>
                <c:pt idx="0">
                  <c:v>PE-20</c:v>
                </c:pt>
                <c:pt idx="1">
                  <c:v>R-3H</c:v>
                </c:pt>
                <c:pt idx="2">
                  <c:v>BOMBA CENTR.BCP 1334-80</c:v>
                </c:pt>
                <c:pt idx="3">
                  <c:v>PERFURAT.R-1H-BX</c:v>
                </c:pt>
                <c:pt idx="4">
                  <c:v>R-1SC - Comboio</c:v>
                </c:pt>
                <c:pt idx="5">
                  <c:v>PTRAT-160 G</c:v>
                </c:pt>
                <c:pt idx="6">
                  <c:v>R-1HBX - Comboio</c:v>
                </c:pt>
                <c:pt idx="7">
                  <c:v>BOMBA CENTR.BCP-1334-FL.P/MOTOR HIDR.</c:v>
                </c:pt>
                <c:pt idx="8">
                  <c:v>BOMBA DE VACUO ANEL LIQ.1230 HOR.</c:v>
                </c:pt>
                <c:pt idx="9">
                  <c:v>BPS-332</c:v>
                </c:pt>
                <c:pt idx="10">
                  <c:v>BPS-332-080-MP</c:v>
                </c:pt>
                <c:pt idx="11">
                  <c:v>BPS-363-BP</c:v>
                </c:pt>
                <c:pt idx="12">
                  <c:v>CXA-200NN</c:v>
                </c:pt>
                <c:pt idx="13">
                  <c:v>Filtro para vinho 300 m³/h</c:v>
                </c:pt>
                <c:pt idx="14">
                  <c:v>Filtro para vinho 500 m³/h</c:v>
                </c:pt>
                <c:pt idx="15">
                  <c:v>GMP-015-US</c:v>
                </c:pt>
                <c:pt idx="16">
                  <c:v>MOTOBOMBA BPS-332-080</c:v>
                </c:pt>
                <c:pt idx="17">
                  <c:v>Moto bomba BPS-334</c:v>
                </c:pt>
                <c:pt idx="18">
                  <c:v>PCP-1400L</c:v>
                </c:pt>
                <c:pt idx="19">
                  <c:v>PE-40</c:v>
                </c:pt>
                <c:pt idx="20">
                  <c:v>PE-80</c:v>
                </c:pt>
                <c:pt idx="21">
                  <c:v>PERFURATRIZ R-1S</c:v>
                </c:pt>
                <c:pt idx="22">
                  <c:v>PERFURATRIZ ROTO PNEUMATICA, MODELO R-1H-BX.N2, COMPLETA</c:v>
                </c:pt>
                <c:pt idx="23">
                  <c:v>PERFURATRIZ ROTO PNEUMATICA, MODELO R-3H.1, COMPLETA</c:v>
                </c:pt>
                <c:pt idx="24">
                  <c:v>PTRAT-125</c:v>
                </c:pt>
                <c:pt idx="25">
                  <c:v>PTRAT-200N</c:v>
                </c:pt>
                <c:pt idx="26">
                  <c:v>R-0</c:v>
                </c:pt>
                <c:pt idx="27">
                  <c:v>R-1HBX</c:v>
                </c:pt>
                <c:pt idx="28">
                  <c:v>R-1S</c:v>
                </c:pt>
                <c:pt idx="29">
                  <c:v>R-4HS</c:v>
                </c:pt>
              </c:strCache>
            </c:strRef>
          </c:cat>
          <c:val>
            <c:numRef>
              <c:f>Ranking_Equipamentos!$B$2:$B$31</c:f>
              <c:numCache>
                <c:formatCode>General</c:formatCode>
                <c:ptCount val="30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0-448A-8ACC-EF8D713AC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9633871"/>
        <c:axId val="1349638671"/>
      </c:barChart>
      <c:catAx>
        <c:axId val="1349633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9638671"/>
        <c:crosses val="autoZero"/>
        <c:auto val="1"/>
        <c:lblAlgn val="ctr"/>
        <c:lblOffset val="100"/>
        <c:noMultiLvlLbl val="0"/>
      </c:catAx>
      <c:valAx>
        <c:axId val="134963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963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'Segmentos por Mercado'!$C$1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23-468F-83BE-06888A405526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E23-468F-83BE-06888A405526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23-468F-83BE-06888A40552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23-468F-83BE-06888A40552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23-468F-83BE-06888A405526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23-468F-83BE-06888A405526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23-468F-83BE-06888A4055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'Segmentos por Mercado'!$A$2:$B$5</c:f>
              <c:multiLvlStrCache>
                <c:ptCount val="4"/>
                <c:lvl>
                  <c:pt idx="0">
                    <c:v>Sólido/líquido</c:v>
                  </c:pt>
                  <c:pt idx="1">
                    <c:v>Perfuração</c:v>
                  </c:pt>
                  <c:pt idx="2">
                    <c:v>Bombas</c:v>
                  </c:pt>
                  <c:pt idx="3">
                    <c:v>Perfuração</c:v>
                  </c:pt>
                </c:lvl>
                <c:lvl>
                  <c:pt idx="0">
                    <c:v>Brasil</c:v>
                  </c:pt>
                  <c:pt idx="1">
                    <c:v>Brasil</c:v>
                  </c:pt>
                  <c:pt idx="2">
                    <c:v>Brasil</c:v>
                  </c:pt>
                  <c:pt idx="3">
                    <c:v>Exterior</c:v>
                  </c:pt>
                </c:lvl>
              </c:multiLvlStrCache>
            </c:multiLvlStrRef>
          </c:cat>
          <c:val>
            <c:numRef>
              <c:f>'Segmentos por Mercado'!$C$2:$C$5</c:f>
              <c:numCache>
                <c:formatCode>General</c:formatCode>
                <c:ptCount val="4"/>
                <c:pt idx="0">
                  <c:v>14</c:v>
                </c:pt>
                <c:pt idx="1">
                  <c:v>13</c:v>
                </c:pt>
                <c:pt idx="2">
                  <c:v>10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3-468F-83BE-06888A405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367423"/>
        <c:axId val="2023375103"/>
      </c:barChart>
      <c:catAx>
        <c:axId val="202336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375103"/>
        <c:crosses val="autoZero"/>
        <c:auto val="1"/>
        <c:lblAlgn val="ctr"/>
        <c:lblOffset val="100"/>
        <c:noMultiLvlLbl val="0"/>
      </c:catAx>
      <c:valAx>
        <c:axId val="202337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367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Equipamento</a:t>
            </a:r>
            <a:r>
              <a:rPr lang="pt-BR" baseline="0"/>
              <a:t> Líder de Venda -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Equip_lider_região!$B$1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Equip_lider_região!$A$2:$A$14</c:f>
              <c:strCache>
                <c:ptCount val="13"/>
                <c:pt idx="0">
                  <c:v>SP</c:v>
                </c:pt>
                <c:pt idx="1">
                  <c:v>PR</c:v>
                </c:pt>
                <c:pt idx="2">
                  <c:v>AR</c:v>
                </c:pt>
                <c:pt idx="3">
                  <c:v>MG</c:v>
                </c:pt>
                <c:pt idx="4">
                  <c:v>BA</c:v>
                </c:pt>
                <c:pt idx="5">
                  <c:v>PE</c:v>
                </c:pt>
                <c:pt idx="6">
                  <c:v>MT</c:v>
                </c:pt>
                <c:pt idx="7">
                  <c:v>RJ</c:v>
                </c:pt>
                <c:pt idx="8">
                  <c:v>CE</c:v>
                </c:pt>
                <c:pt idx="9">
                  <c:v>CH</c:v>
                </c:pt>
                <c:pt idx="10">
                  <c:v>GO</c:v>
                </c:pt>
                <c:pt idx="11">
                  <c:v>RS</c:v>
                </c:pt>
                <c:pt idx="12">
                  <c:v>SE</c:v>
                </c:pt>
              </c:strCache>
            </c:strRef>
          </c:cat>
          <c:val>
            <c:numRef>
              <c:f>Equip_lider_região!$B$2:$B$14</c:f>
              <c:numCache>
                <c:formatCode>General</c:formatCode>
                <c:ptCount val="13"/>
                <c:pt idx="0">
                  <c:v>11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B-421D-88D2-018A1EC3F382}"/>
            </c:ext>
          </c:extLst>
        </c:ser>
        <c:ser>
          <c:idx val="1"/>
          <c:order val="1"/>
          <c:tx>
            <c:strRef>
              <c:f>Equip_lider_região!$C$1</c:f>
              <c:strCache>
                <c:ptCount val="1"/>
                <c:pt idx="0">
                  <c:v>Segmento líder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Equip_lider_região!$A$2:$A$14</c:f>
              <c:strCache>
                <c:ptCount val="13"/>
                <c:pt idx="0">
                  <c:v>SP</c:v>
                </c:pt>
                <c:pt idx="1">
                  <c:v>PR</c:v>
                </c:pt>
                <c:pt idx="2">
                  <c:v>AR</c:v>
                </c:pt>
                <c:pt idx="3">
                  <c:v>MG</c:v>
                </c:pt>
                <c:pt idx="4">
                  <c:v>BA</c:v>
                </c:pt>
                <c:pt idx="5">
                  <c:v>PE</c:v>
                </c:pt>
                <c:pt idx="6">
                  <c:v>MT</c:v>
                </c:pt>
                <c:pt idx="7">
                  <c:v>RJ</c:v>
                </c:pt>
                <c:pt idx="8">
                  <c:v>CE</c:v>
                </c:pt>
                <c:pt idx="9">
                  <c:v>CH</c:v>
                </c:pt>
                <c:pt idx="10">
                  <c:v>GO</c:v>
                </c:pt>
                <c:pt idx="11">
                  <c:v>RS</c:v>
                </c:pt>
                <c:pt idx="12">
                  <c:v>SE</c:v>
                </c:pt>
              </c:strCache>
            </c:strRef>
          </c:cat>
          <c:val>
            <c:numRef>
              <c:f>Equip_lider_região!$C$2:$C$14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B-421D-88D2-018A1EC3F382}"/>
            </c:ext>
          </c:extLst>
        </c:ser>
        <c:ser>
          <c:idx val="2"/>
          <c:order val="2"/>
          <c:tx>
            <c:strRef>
              <c:f>Equip_lider_região!$D$1</c:f>
              <c:strCache>
                <c:ptCount val="1"/>
                <c:pt idx="0">
                  <c:v>Equipamento líder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Equip_lider_região!$A$2:$A$14</c:f>
              <c:strCache>
                <c:ptCount val="13"/>
                <c:pt idx="0">
                  <c:v>SP</c:v>
                </c:pt>
                <c:pt idx="1">
                  <c:v>PR</c:v>
                </c:pt>
                <c:pt idx="2">
                  <c:v>AR</c:v>
                </c:pt>
                <c:pt idx="3">
                  <c:v>MG</c:v>
                </c:pt>
                <c:pt idx="4">
                  <c:v>BA</c:v>
                </c:pt>
                <c:pt idx="5">
                  <c:v>PE</c:v>
                </c:pt>
                <c:pt idx="6">
                  <c:v>MT</c:v>
                </c:pt>
                <c:pt idx="7">
                  <c:v>RJ</c:v>
                </c:pt>
                <c:pt idx="8">
                  <c:v>CE</c:v>
                </c:pt>
                <c:pt idx="9">
                  <c:v>CH</c:v>
                </c:pt>
                <c:pt idx="10">
                  <c:v>GO</c:v>
                </c:pt>
                <c:pt idx="11">
                  <c:v>RS</c:v>
                </c:pt>
                <c:pt idx="12">
                  <c:v>SE</c:v>
                </c:pt>
              </c:strCache>
            </c:strRef>
          </c:cat>
          <c:val>
            <c:numRef>
              <c:f>Equip_lider_região!$D$2:$D$14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B-421D-88D2-018A1EC3F382}"/>
            </c:ext>
          </c:extLst>
        </c:ser>
        <c:ser>
          <c:idx val="3"/>
          <c:order val="3"/>
          <c:tx>
            <c:strRef>
              <c:f>Equip_lider_região!$E$1</c:f>
              <c:strCache>
                <c:ptCount val="1"/>
                <c:pt idx="0">
                  <c:v>Vendas do líder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Equip_lider_região!$A$2:$A$14</c:f>
              <c:strCache>
                <c:ptCount val="13"/>
                <c:pt idx="0">
                  <c:v>SP</c:v>
                </c:pt>
                <c:pt idx="1">
                  <c:v>PR</c:v>
                </c:pt>
                <c:pt idx="2">
                  <c:v>AR</c:v>
                </c:pt>
                <c:pt idx="3">
                  <c:v>MG</c:v>
                </c:pt>
                <c:pt idx="4">
                  <c:v>BA</c:v>
                </c:pt>
                <c:pt idx="5">
                  <c:v>PE</c:v>
                </c:pt>
                <c:pt idx="6">
                  <c:v>MT</c:v>
                </c:pt>
                <c:pt idx="7">
                  <c:v>RJ</c:v>
                </c:pt>
                <c:pt idx="8">
                  <c:v>CE</c:v>
                </c:pt>
                <c:pt idx="9">
                  <c:v>CH</c:v>
                </c:pt>
                <c:pt idx="10">
                  <c:v>GO</c:v>
                </c:pt>
                <c:pt idx="11">
                  <c:v>RS</c:v>
                </c:pt>
                <c:pt idx="12">
                  <c:v>SE</c:v>
                </c:pt>
              </c:strCache>
            </c:strRef>
          </c:cat>
          <c:val>
            <c:numRef>
              <c:f>Equip_lider_região!$E$2:$E$14</c:f>
              <c:numCache>
                <c:formatCode>General</c:formatCode>
                <c:ptCount val="13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7B-421D-88D2-018A1EC3F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347743"/>
        <c:axId val="2023337183"/>
      </c:barChart>
      <c:catAx>
        <c:axId val="202334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337183"/>
        <c:crosses val="autoZero"/>
        <c:auto val="1"/>
        <c:lblAlgn val="ctr"/>
        <c:lblOffset val="100"/>
        <c:noMultiLvlLbl val="0"/>
      </c:catAx>
      <c:valAx>
        <c:axId val="202333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34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590549</xdr:colOff>
      <xdr:row>0</xdr:row>
      <xdr:rowOff>359092</xdr:rowOff>
    </xdr:from>
    <xdr:to>
      <xdr:col>15</xdr:col>
      <xdr:colOff>78104</xdr:colOff>
      <xdr:row>7</xdr:row>
      <xdr:rowOff>683895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EC6174-4945-2050-5110-CD9D8679E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</xdr:colOff>
      <xdr:row>15</xdr:row>
      <xdr:rowOff>67626</xdr:rowOff>
    </xdr:from>
    <xdr:to>
      <xdr:col>6</xdr:col>
      <xdr:colOff>55245</xdr:colOff>
      <xdr:row>37</xdr:row>
      <xdr:rowOff>38099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2C3559-6DFD-A2A2-0B5B-7F75B57F8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</xdr:colOff>
      <xdr:row>6</xdr:row>
      <xdr:rowOff>168592</xdr:rowOff>
    </xdr:from>
    <xdr:to>
      <xdr:col>8</xdr:col>
      <xdr:colOff>409575</xdr:colOff>
      <xdr:row>29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AA04E2-D837-116F-92F4-98A7BCCB38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</xdr:colOff>
      <xdr:row>0</xdr:row>
      <xdr:rowOff>172402</xdr:rowOff>
    </xdr:from>
    <xdr:to>
      <xdr:col>17</xdr:col>
      <xdr:colOff>447675</xdr:colOff>
      <xdr:row>20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D01D9A-BAB6-5205-A3BC-272B252A3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10476</xdr:colOff>
      <xdr:row>0</xdr:row>
      <xdr:rowOff>355282</xdr:rowOff>
    </xdr:from>
    <xdr:to>
      <xdr:col>18</xdr:col>
      <xdr:colOff>19049</xdr:colOff>
      <xdr:row>12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A03180-6263-6121-A807-392B9F7F6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</xdr:colOff>
      <xdr:row>6</xdr:row>
      <xdr:rowOff>168591</xdr:rowOff>
    </xdr:from>
    <xdr:to>
      <xdr:col>12</xdr:col>
      <xdr:colOff>47625</xdr:colOff>
      <xdr:row>26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80774A-298B-A369-E52D-E261913D6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593407</xdr:colOff>
      <xdr:row>2</xdr:row>
      <xdr:rowOff>2857</xdr:rowOff>
    </xdr:from>
    <xdr:to>
      <xdr:col>20</xdr:col>
      <xdr:colOff>9525</xdr:colOff>
      <xdr:row>13</xdr:row>
      <xdr:rowOff>209550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D8A089-8AAF-F570-0C47-94210E7BD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9FD3-8534-4188-B23F-DFD9D69868A3}">
  <dimension ref="A1:E45"/>
  <sheetViews>
    <sheetView tabSelected="1" zoomScaleNormal="100" workbookViewId="0">
      <selection activeCell="A34" sqref="A34"/>
    </sheetView>
  </sheetViews>
  <sheetFormatPr defaultRowHeight="14.4" x14ac:dyDescent="0.3"/>
  <cols>
    <col min="1" max="1" width="48" bestFit="1" customWidth="1"/>
    <col min="2" max="2" width="11.109375" bestFit="1" customWidth="1"/>
    <col min="3" max="3" width="13.44140625" bestFit="1" customWidth="1"/>
    <col min="4" max="4" width="16.6640625" customWidth="1"/>
    <col min="5" max="5" width="14.44140625" customWidth="1"/>
  </cols>
  <sheetData>
    <row r="1" spans="1: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thickBot="1" x14ac:dyDescent="0.35">
      <c r="A2" s="15" t="s">
        <v>79</v>
      </c>
      <c r="B2" s="2">
        <v>1</v>
      </c>
      <c r="C2" s="2" t="s">
        <v>5</v>
      </c>
      <c r="D2" s="3" t="s">
        <v>6</v>
      </c>
      <c r="E2" s="4" t="s">
        <v>7</v>
      </c>
    </row>
    <row r="3" spans="1:5" ht="15" thickBot="1" x14ac:dyDescent="0.35">
      <c r="A3" s="14" t="s">
        <v>79</v>
      </c>
      <c r="B3" s="2">
        <v>1</v>
      </c>
      <c r="C3" s="5" t="s">
        <v>5</v>
      </c>
      <c r="D3" s="6" t="s">
        <v>8</v>
      </c>
      <c r="E3" s="7" t="s">
        <v>9</v>
      </c>
    </row>
    <row r="4" spans="1:5" ht="15" thickBot="1" x14ac:dyDescent="0.35">
      <c r="A4" s="14" t="s">
        <v>79</v>
      </c>
      <c r="B4" s="2">
        <v>1</v>
      </c>
      <c r="C4" s="5" t="s">
        <v>5</v>
      </c>
      <c r="D4" s="6" t="s">
        <v>10</v>
      </c>
      <c r="E4" s="7" t="s">
        <v>11</v>
      </c>
    </row>
    <row r="5" spans="1:5" ht="15" thickBot="1" x14ac:dyDescent="0.35">
      <c r="A5" s="11" t="s">
        <v>12</v>
      </c>
      <c r="B5" s="2">
        <v>1</v>
      </c>
      <c r="C5" s="5" t="s">
        <v>5</v>
      </c>
      <c r="D5" s="6" t="s">
        <v>13</v>
      </c>
      <c r="E5" s="7" t="s">
        <v>14</v>
      </c>
    </row>
    <row r="6" spans="1:5" ht="15" thickBot="1" x14ac:dyDescent="0.35">
      <c r="A6" s="11" t="s">
        <v>15</v>
      </c>
      <c r="B6" s="2">
        <v>1</v>
      </c>
      <c r="C6" s="5" t="s">
        <v>5</v>
      </c>
      <c r="D6" s="6" t="s">
        <v>16</v>
      </c>
      <c r="E6" s="7" t="s">
        <v>17</v>
      </c>
    </row>
    <row r="7" spans="1:5" ht="15" thickBot="1" x14ac:dyDescent="0.35">
      <c r="A7" s="11" t="s">
        <v>18</v>
      </c>
      <c r="B7" s="2">
        <v>1</v>
      </c>
      <c r="C7" s="5" t="s">
        <v>5</v>
      </c>
      <c r="D7" s="6" t="s">
        <v>19</v>
      </c>
      <c r="E7" s="7" t="s">
        <v>14</v>
      </c>
    </row>
    <row r="8" spans="1:5" ht="15" thickBot="1" x14ac:dyDescent="0.35">
      <c r="A8" s="11" t="s">
        <v>20</v>
      </c>
      <c r="B8" s="2">
        <v>1</v>
      </c>
      <c r="C8" s="5" t="s">
        <v>5</v>
      </c>
      <c r="D8" s="6" t="s">
        <v>21</v>
      </c>
      <c r="E8" s="7" t="s">
        <v>22</v>
      </c>
    </row>
    <row r="9" spans="1:5" ht="15" thickBot="1" x14ac:dyDescent="0.35">
      <c r="A9" s="11" t="s">
        <v>23</v>
      </c>
      <c r="B9" s="2">
        <v>1</v>
      </c>
      <c r="C9" s="5" t="s">
        <v>5</v>
      </c>
      <c r="D9" s="6" t="s">
        <v>24</v>
      </c>
      <c r="E9" s="7" t="s">
        <v>25</v>
      </c>
    </row>
    <row r="10" spans="1:5" ht="29.4" thickBot="1" x14ac:dyDescent="0.35">
      <c r="A10" s="11" t="s">
        <v>26</v>
      </c>
      <c r="B10" s="2">
        <v>1</v>
      </c>
      <c r="C10" s="5" t="s">
        <v>30</v>
      </c>
      <c r="D10" s="6" t="s">
        <v>27</v>
      </c>
      <c r="E10" s="7" t="s">
        <v>28</v>
      </c>
    </row>
    <row r="11" spans="1:5" ht="15" thickBot="1" x14ac:dyDescent="0.35">
      <c r="A11" s="11" t="s">
        <v>29</v>
      </c>
      <c r="B11" s="2">
        <v>1</v>
      </c>
      <c r="C11" s="5" t="s">
        <v>30</v>
      </c>
      <c r="D11" s="6" t="s">
        <v>31</v>
      </c>
      <c r="E11" s="7" t="s">
        <v>17</v>
      </c>
    </row>
    <row r="12" spans="1:5" ht="15" thickBot="1" x14ac:dyDescent="0.35">
      <c r="A12" s="11" t="s">
        <v>32</v>
      </c>
      <c r="B12" s="2">
        <v>1</v>
      </c>
      <c r="C12" s="5" t="s">
        <v>30</v>
      </c>
      <c r="D12" s="6" t="s">
        <v>33</v>
      </c>
      <c r="E12" s="7" t="s">
        <v>14</v>
      </c>
    </row>
    <row r="13" spans="1:5" ht="15" thickBot="1" x14ac:dyDescent="0.35">
      <c r="A13" s="11" t="s">
        <v>34</v>
      </c>
      <c r="B13" s="2">
        <v>1</v>
      </c>
      <c r="C13" s="5" t="s">
        <v>35</v>
      </c>
      <c r="D13" s="6" t="s">
        <v>36</v>
      </c>
      <c r="E13" s="7" t="s">
        <v>17</v>
      </c>
    </row>
    <row r="14" spans="1:5" ht="15" thickBot="1" x14ac:dyDescent="0.35">
      <c r="A14" s="11" t="s">
        <v>37</v>
      </c>
      <c r="B14" s="2">
        <v>1</v>
      </c>
      <c r="C14" s="5" t="s">
        <v>5</v>
      </c>
      <c r="D14" s="6" t="s">
        <v>38</v>
      </c>
      <c r="E14" s="7" t="s">
        <v>39</v>
      </c>
    </row>
    <row r="15" spans="1:5" ht="15" thickBot="1" x14ac:dyDescent="0.35">
      <c r="A15" s="11" t="s">
        <v>80</v>
      </c>
      <c r="B15" s="2">
        <v>1</v>
      </c>
      <c r="C15" s="5" t="s">
        <v>5</v>
      </c>
      <c r="D15" s="6" t="s">
        <v>40</v>
      </c>
      <c r="E15" s="7" t="s">
        <v>39</v>
      </c>
    </row>
    <row r="16" spans="1:5" ht="15" thickBot="1" x14ac:dyDescent="0.35">
      <c r="A16" s="11" t="s">
        <v>41</v>
      </c>
      <c r="B16" s="2">
        <v>1</v>
      </c>
      <c r="C16" s="5" t="s">
        <v>30</v>
      </c>
      <c r="D16" s="6" t="s">
        <v>42</v>
      </c>
      <c r="E16" s="7" t="s">
        <v>39</v>
      </c>
    </row>
    <row r="17" spans="1:5" ht="28.8" customHeight="1" thickBot="1" x14ac:dyDescent="0.35">
      <c r="A17" s="14" t="s">
        <v>43</v>
      </c>
      <c r="B17" s="2">
        <v>1</v>
      </c>
      <c r="C17" s="5" t="s">
        <v>30</v>
      </c>
      <c r="D17" s="6" t="s">
        <v>44</v>
      </c>
      <c r="E17" s="7" t="s">
        <v>39</v>
      </c>
    </row>
    <row r="18" spans="1:5" ht="15" thickBot="1" x14ac:dyDescent="0.35">
      <c r="A18" s="14" t="s">
        <v>43</v>
      </c>
      <c r="B18" s="2">
        <v>1</v>
      </c>
      <c r="C18" s="5" t="s">
        <v>30</v>
      </c>
      <c r="D18" s="6" t="s">
        <v>45</v>
      </c>
      <c r="E18" s="7" t="s">
        <v>39</v>
      </c>
    </row>
    <row r="19" spans="1:5" ht="15" thickBot="1" x14ac:dyDescent="0.35">
      <c r="A19" s="14" t="s">
        <v>43</v>
      </c>
      <c r="B19" s="2">
        <v>1</v>
      </c>
      <c r="C19" s="5" t="s">
        <v>30</v>
      </c>
      <c r="D19" s="6" t="s">
        <v>45</v>
      </c>
      <c r="E19" s="7" t="s">
        <v>39</v>
      </c>
    </row>
    <row r="20" spans="1:5" ht="15" thickBot="1" x14ac:dyDescent="0.35">
      <c r="A20" s="14" t="s">
        <v>43</v>
      </c>
      <c r="B20" s="2">
        <v>1</v>
      </c>
      <c r="C20" s="5" t="s">
        <v>30</v>
      </c>
      <c r="D20" s="6" t="s">
        <v>45</v>
      </c>
      <c r="E20" s="7" t="s">
        <v>39</v>
      </c>
    </row>
    <row r="21" spans="1:5" ht="15" thickBot="1" x14ac:dyDescent="0.35">
      <c r="A21" s="11" t="s">
        <v>46</v>
      </c>
      <c r="B21" s="2">
        <v>1</v>
      </c>
      <c r="C21" s="5" t="s">
        <v>30</v>
      </c>
      <c r="D21" s="6" t="s">
        <v>47</v>
      </c>
      <c r="E21" s="7" t="s">
        <v>39</v>
      </c>
    </row>
    <row r="22" spans="1:5" ht="15" thickBot="1" x14ac:dyDescent="0.35">
      <c r="A22" s="11" t="s">
        <v>48</v>
      </c>
      <c r="B22" s="2">
        <v>1</v>
      </c>
      <c r="C22" s="5" t="s">
        <v>30</v>
      </c>
      <c r="D22" s="6" t="s">
        <v>49</v>
      </c>
      <c r="E22" s="7" t="s">
        <v>39</v>
      </c>
    </row>
    <row r="23" spans="1:5" ht="15" thickBot="1" x14ac:dyDescent="0.35">
      <c r="A23" s="11" t="s">
        <v>81</v>
      </c>
      <c r="B23" s="2">
        <v>1</v>
      </c>
      <c r="C23" s="5" t="s">
        <v>35</v>
      </c>
      <c r="D23" s="6" t="s">
        <v>74</v>
      </c>
      <c r="E23" s="7" t="s">
        <v>73</v>
      </c>
    </row>
    <row r="24" spans="1:5" ht="15" thickBot="1" x14ac:dyDescent="0.35">
      <c r="A24" s="17" t="s">
        <v>82</v>
      </c>
      <c r="B24" s="2">
        <v>1</v>
      </c>
      <c r="C24" s="5" t="s">
        <v>35</v>
      </c>
      <c r="D24" s="6" t="s">
        <v>50</v>
      </c>
      <c r="E24" s="7" t="s">
        <v>14</v>
      </c>
    </row>
    <row r="25" spans="1:5" ht="15" thickBot="1" x14ac:dyDescent="0.35">
      <c r="A25" s="17"/>
      <c r="B25" s="2">
        <v>1</v>
      </c>
      <c r="C25" s="5" t="s">
        <v>35</v>
      </c>
      <c r="D25" s="6" t="s">
        <v>50</v>
      </c>
      <c r="E25" s="7" t="s">
        <v>14</v>
      </c>
    </row>
    <row r="26" spans="1:5" ht="29.4" thickBot="1" x14ac:dyDescent="0.35">
      <c r="A26" s="12" t="s">
        <v>83</v>
      </c>
      <c r="B26" s="2">
        <v>1</v>
      </c>
      <c r="C26" s="5" t="s">
        <v>35</v>
      </c>
      <c r="D26" s="6" t="s">
        <v>51</v>
      </c>
      <c r="E26" s="7" t="s">
        <v>28</v>
      </c>
    </row>
    <row r="27" spans="1:5" ht="29.4" thickBot="1" x14ac:dyDescent="0.35">
      <c r="A27" s="12" t="s">
        <v>52</v>
      </c>
      <c r="B27" s="2">
        <v>1</v>
      </c>
      <c r="C27" s="5" t="s">
        <v>35</v>
      </c>
      <c r="D27" s="6" t="s">
        <v>53</v>
      </c>
      <c r="E27" s="7" t="s">
        <v>22</v>
      </c>
    </row>
    <row r="28" spans="1:5" ht="29.4" thickBot="1" x14ac:dyDescent="0.35">
      <c r="A28" s="12" t="s">
        <v>54</v>
      </c>
      <c r="B28" s="2">
        <v>1</v>
      </c>
      <c r="C28" s="5" t="s">
        <v>35</v>
      </c>
      <c r="D28" s="6" t="s">
        <v>53</v>
      </c>
      <c r="E28" s="7" t="s">
        <v>22</v>
      </c>
    </row>
    <row r="29" spans="1:5" ht="15" thickBot="1" x14ac:dyDescent="0.35">
      <c r="A29" s="11" t="s">
        <v>55</v>
      </c>
      <c r="B29" s="2">
        <v>1</v>
      </c>
      <c r="C29" s="5" t="s">
        <v>30</v>
      </c>
      <c r="D29" s="6" t="s">
        <v>56</v>
      </c>
      <c r="E29" s="7" t="s">
        <v>39</v>
      </c>
    </row>
    <row r="30" spans="1:5" ht="29.4" thickBot="1" x14ac:dyDescent="0.35">
      <c r="A30" s="18" t="s">
        <v>84</v>
      </c>
      <c r="B30" s="2">
        <v>1</v>
      </c>
      <c r="C30" s="5" t="s">
        <v>30</v>
      </c>
      <c r="D30" s="6" t="s">
        <v>57</v>
      </c>
      <c r="E30" s="7" t="s">
        <v>58</v>
      </c>
    </row>
    <row r="31" spans="1:5" ht="29.4" thickBot="1" x14ac:dyDescent="0.35">
      <c r="A31" s="18" t="s">
        <v>84</v>
      </c>
      <c r="B31" s="2">
        <v>1</v>
      </c>
      <c r="C31" s="5" t="s">
        <v>30</v>
      </c>
      <c r="D31" s="6" t="s">
        <v>57</v>
      </c>
      <c r="E31" s="7" t="s">
        <v>58</v>
      </c>
    </row>
    <row r="32" spans="1:5" ht="15" thickBot="1" x14ac:dyDescent="0.35">
      <c r="A32" s="11" t="s">
        <v>59</v>
      </c>
      <c r="B32" s="2">
        <v>1</v>
      </c>
      <c r="C32" s="5" t="s">
        <v>30</v>
      </c>
      <c r="D32" s="6" t="s">
        <v>60</v>
      </c>
      <c r="E32" s="7" t="s">
        <v>39</v>
      </c>
    </row>
    <row r="33" spans="1:5" ht="15" thickBot="1" x14ac:dyDescent="0.35">
      <c r="A33" s="11" t="s">
        <v>85</v>
      </c>
      <c r="B33" s="2">
        <v>1</v>
      </c>
      <c r="C33" s="5" t="s">
        <v>35</v>
      </c>
      <c r="D33" s="6" t="s">
        <v>77</v>
      </c>
      <c r="E33" s="7" t="s">
        <v>76</v>
      </c>
    </row>
    <row r="34" spans="1:5" ht="15" thickBot="1" x14ac:dyDescent="0.35">
      <c r="A34" s="11" t="s">
        <v>61</v>
      </c>
      <c r="B34" s="2">
        <v>1</v>
      </c>
      <c r="C34" s="5" t="s">
        <v>35</v>
      </c>
      <c r="D34" s="6" t="s">
        <v>62</v>
      </c>
      <c r="E34" s="7" t="s">
        <v>7</v>
      </c>
    </row>
    <row r="35" spans="1:5" ht="15" thickBot="1" x14ac:dyDescent="0.35">
      <c r="A35" s="19" t="s">
        <v>63</v>
      </c>
      <c r="B35" s="2">
        <v>1</v>
      </c>
      <c r="C35" s="16" t="s">
        <v>35</v>
      </c>
      <c r="D35" s="6" t="s">
        <v>64</v>
      </c>
      <c r="E35" s="7" t="s">
        <v>17</v>
      </c>
    </row>
    <row r="36" spans="1:5" ht="15" thickBot="1" x14ac:dyDescent="0.35">
      <c r="A36" s="19" t="s">
        <v>63</v>
      </c>
      <c r="B36" s="2">
        <v>1</v>
      </c>
      <c r="C36" s="16"/>
      <c r="D36" s="6" t="s">
        <v>64</v>
      </c>
      <c r="E36" s="7" t="s">
        <v>17</v>
      </c>
    </row>
    <row r="37" spans="1:5" ht="15" thickBot="1" x14ac:dyDescent="0.35">
      <c r="A37" s="11" t="s">
        <v>65</v>
      </c>
      <c r="B37" s="2">
        <v>1</v>
      </c>
      <c r="C37" s="5" t="s">
        <v>35</v>
      </c>
      <c r="D37" s="6" t="s">
        <v>75</v>
      </c>
      <c r="E37" s="7" t="s">
        <v>73</v>
      </c>
    </row>
    <row r="38" spans="1:5" ht="15" thickBot="1" x14ac:dyDescent="0.35">
      <c r="A38" s="14" t="s">
        <v>66</v>
      </c>
      <c r="B38" s="2">
        <v>1</v>
      </c>
      <c r="C38" s="5" t="s">
        <v>35</v>
      </c>
      <c r="D38" s="6" t="s">
        <v>64</v>
      </c>
      <c r="E38" s="7" t="s">
        <v>17</v>
      </c>
    </row>
    <row r="39" spans="1:5" ht="15" thickBot="1" x14ac:dyDescent="0.35">
      <c r="A39" s="14" t="s">
        <v>66</v>
      </c>
      <c r="B39" s="2">
        <v>1</v>
      </c>
      <c r="C39" s="5" t="s">
        <v>35</v>
      </c>
      <c r="D39" s="6" t="s">
        <v>67</v>
      </c>
      <c r="E39" s="7" t="s">
        <v>28</v>
      </c>
    </row>
    <row r="40" spans="1:5" ht="15" thickBot="1" x14ac:dyDescent="0.35">
      <c r="A40" s="14" t="s">
        <v>66</v>
      </c>
      <c r="B40" s="2">
        <v>1</v>
      </c>
      <c r="C40" s="5" t="s">
        <v>35</v>
      </c>
      <c r="D40" s="6" t="s">
        <v>68</v>
      </c>
      <c r="E40" s="7" t="s">
        <v>69</v>
      </c>
    </row>
    <row r="41" spans="1:5" ht="15" thickBot="1" x14ac:dyDescent="0.35">
      <c r="A41" s="14" t="s">
        <v>70</v>
      </c>
      <c r="B41" s="2">
        <v>1</v>
      </c>
      <c r="C41" s="5" t="s">
        <v>35</v>
      </c>
      <c r="D41" s="6" t="s">
        <v>74</v>
      </c>
      <c r="E41" s="7" t="s">
        <v>73</v>
      </c>
    </row>
    <row r="42" spans="1:5" ht="15" thickBot="1" x14ac:dyDescent="0.35">
      <c r="A42" s="14" t="s">
        <v>70</v>
      </c>
      <c r="B42" s="2">
        <v>1</v>
      </c>
      <c r="C42" s="5" t="s">
        <v>35</v>
      </c>
      <c r="D42" s="6" t="s">
        <v>75</v>
      </c>
      <c r="E42" s="7" t="s">
        <v>73</v>
      </c>
    </row>
    <row r="43" spans="1:5" ht="15" thickBot="1" x14ac:dyDescent="0.35">
      <c r="A43" s="14" t="s">
        <v>70</v>
      </c>
      <c r="B43" s="2">
        <v>1</v>
      </c>
      <c r="C43" s="5" t="s">
        <v>35</v>
      </c>
      <c r="D43" s="6" t="s">
        <v>78</v>
      </c>
      <c r="E43" s="7" t="s">
        <v>73</v>
      </c>
    </row>
    <row r="44" spans="1:5" ht="15" thickBot="1" x14ac:dyDescent="0.35">
      <c r="A44" s="14" t="s">
        <v>70</v>
      </c>
      <c r="B44" s="2">
        <v>1</v>
      </c>
      <c r="C44" s="5" t="s">
        <v>35</v>
      </c>
      <c r="D44" s="6" t="s">
        <v>72</v>
      </c>
      <c r="E44" s="7" t="s">
        <v>73</v>
      </c>
    </row>
    <row r="45" spans="1:5" ht="15" thickBot="1" x14ac:dyDescent="0.35">
      <c r="A45" s="13" t="s">
        <v>71</v>
      </c>
      <c r="B45" s="2">
        <v>1</v>
      </c>
      <c r="C45" s="8" t="s">
        <v>35</v>
      </c>
      <c r="D45" s="9" t="s">
        <v>36</v>
      </c>
      <c r="E45" s="10" t="s">
        <v>17</v>
      </c>
    </row>
  </sheetData>
  <autoFilter ref="A1:E45" xr:uid="{B8779FD3-8534-4188-B23F-DFD9D69868A3}"/>
  <mergeCells count="2">
    <mergeCell ref="C35:C36"/>
    <mergeCell ref="A24:A25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9FA2-8376-4E4E-BDD1-1A15E3174A3B}">
  <dimension ref="A1:B8"/>
  <sheetViews>
    <sheetView workbookViewId="0">
      <selection activeCell="D26" sqref="D26"/>
    </sheetView>
  </sheetViews>
  <sheetFormatPr defaultRowHeight="14.4" x14ac:dyDescent="0.3"/>
  <cols>
    <col min="1" max="1" width="17.5546875" customWidth="1"/>
    <col min="2" max="2" width="25.5546875" customWidth="1"/>
  </cols>
  <sheetData>
    <row r="1" spans="1:2" ht="28.8" x14ac:dyDescent="0.3">
      <c r="A1" s="21" t="s">
        <v>100</v>
      </c>
      <c r="B1" s="23" t="s">
        <v>101</v>
      </c>
    </row>
    <row r="2" spans="1:2" ht="28.8" x14ac:dyDescent="0.3">
      <c r="A2" s="24" t="s">
        <v>102</v>
      </c>
      <c r="B2" s="22">
        <v>44</v>
      </c>
    </row>
    <row r="3" spans="1:2" x14ac:dyDescent="0.3">
      <c r="A3" s="24" t="s">
        <v>103</v>
      </c>
      <c r="B3" s="22">
        <v>37</v>
      </c>
    </row>
    <row r="4" spans="1:2" x14ac:dyDescent="0.3">
      <c r="A4" s="24" t="s">
        <v>104</v>
      </c>
      <c r="B4" s="22">
        <v>7</v>
      </c>
    </row>
    <row r="5" spans="1:2" ht="57.6" x14ac:dyDescent="0.3">
      <c r="A5" s="24" t="s">
        <v>105</v>
      </c>
      <c r="B5" s="22" t="s">
        <v>106</v>
      </c>
    </row>
    <row r="6" spans="1:2" ht="43.2" x14ac:dyDescent="0.3">
      <c r="A6" s="24" t="s">
        <v>107</v>
      </c>
      <c r="B6" s="25">
        <v>0.40699999999999997</v>
      </c>
    </row>
    <row r="7" spans="1:2" ht="57.6" x14ac:dyDescent="0.3">
      <c r="A7" s="24" t="s">
        <v>108</v>
      </c>
      <c r="B7" s="22">
        <v>3</v>
      </c>
    </row>
    <row r="8" spans="1:2" ht="72" x14ac:dyDescent="0.3">
      <c r="A8" s="24" t="s">
        <v>109</v>
      </c>
      <c r="B8" s="22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FB4-9D9A-4F46-9D90-54FBD2241505}">
  <dimension ref="A1:E14"/>
  <sheetViews>
    <sheetView workbookViewId="0">
      <selection activeCell="C6" sqref="C6"/>
    </sheetView>
  </sheetViews>
  <sheetFormatPr defaultRowHeight="14.4" x14ac:dyDescent="0.3"/>
  <cols>
    <col min="1" max="1" width="21.44140625" customWidth="1"/>
    <col min="2" max="2" width="14.88671875" customWidth="1"/>
    <col min="3" max="3" width="13.21875" customWidth="1"/>
    <col min="4" max="4" width="14.88671875" customWidth="1"/>
    <col min="5" max="5" width="21.44140625" customWidth="1"/>
  </cols>
  <sheetData>
    <row r="1" spans="1:5" ht="43.2" x14ac:dyDescent="0.3">
      <c r="A1" s="21" t="s">
        <v>91</v>
      </c>
      <c r="B1" s="21" t="s">
        <v>110</v>
      </c>
      <c r="C1" s="23" t="s">
        <v>86</v>
      </c>
      <c r="D1" s="23" t="s">
        <v>111</v>
      </c>
      <c r="E1" s="23" t="s">
        <v>112</v>
      </c>
    </row>
    <row r="2" spans="1:5" x14ac:dyDescent="0.3">
      <c r="A2" s="24" t="s">
        <v>39</v>
      </c>
      <c r="B2" s="24" t="s">
        <v>103</v>
      </c>
      <c r="C2" s="22">
        <v>11</v>
      </c>
      <c r="D2" s="22">
        <v>9</v>
      </c>
      <c r="E2" s="22">
        <v>8</v>
      </c>
    </row>
    <row r="3" spans="1:5" x14ac:dyDescent="0.3">
      <c r="A3" s="24" t="s">
        <v>17</v>
      </c>
      <c r="B3" s="24" t="s">
        <v>103</v>
      </c>
      <c r="C3" s="22">
        <v>7</v>
      </c>
      <c r="D3" s="22">
        <v>4</v>
      </c>
      <c r="E3" s="22">
        <v>6</v>
      </c>
    </row>
    <row r="4" spans="1:5" x14ac:dyDescent="0.3">
      <c r="A4" s="24" t="s">
        <v>73</v>
      </c>
      <c r="B4" s="24" t="s">
        <v>104</v>
      </c>
      <c r="C4" s="22">
        <v>6</v>
      </c>
      <c r="D4" s="22">
        <v>4</v>
      </c>
      <c r="E4" s="22">
        <v>3</v>
      </c>
    </row>
    <row r="5" spans="1:5" x14ac:dyDescent="0.3">
      <c r="A5" s="24" t="s">
        <v>14</v>
      </c>
      <c r="B5" s="24" t="s">
        <v>103</v>
      </c>
      <c r="C5" s="22">
        <v>5</v>
      </c>
      <c r="D5" s="22">
        <v>4</v>
      </c>
      <c r="E5" s="22">
        <v>4</v>
      </c>
    </row>
    <row r="6" spans="1:5" x14ac:dyDescent="0.3">
      <c r="A6" s="24" t="s">
        <v>22</v>
      </c>
      <c r="B6" s="24" t="s">
        <v>103</v>
      </c>
      <c r="C6" s="22">
        <v>3</v>
      </c>
      <c r="D6" s="22">
        <v>2</v>
      </c>
      <c r="E6" s="22">
        <v>3</v>
      </c>
    </row>
    <row r="7" spans="1:5" x14ac:dyDescent="0.3">
      <c r="A7" s="24" t="s">
        <v>28</v>
      </c>
      <c r="B7" s="24" t="s">
        <v>103</v>
      </c>
      <c r="C7" s="22">
        <v>3</v>
      </c>
      <c r="D7" s="22">
        <v>3</v>
      </c>
      <c r="E7" s="22">
        <v>3</v>
      </c>
    </row>
    <row r="8" spans="1:5" x14ac:dyDescent="0.3">
      <c r="A8" s="24" t="s">
        <v>7</v>
      </c>
      <c r="B8" s="24" t="s">
        <v>103</v>
      </c>
      <c r="C8" s="22">
        <v>2</v>
      </c>
      <c r="D8" s="22">
        <v>2</v>
      </c>
      <c r="E8" s="22">
        <v>2</v>
      </c>
    </row>
    <row r="9" spans="1:5" x14ac:dyDescent="0.3">
      <c r="A9" s="24" t="s">
        <v>58</v>
      </c>
      <c r="B9" s="24" t="s">
        <v>103</v>
      </c>
      <c r="C9" s="22">
        <v>2</v>
      </c>
      <c r="D9" s="22">
        <v>1</v>
      </c>
      <c r="E9" s="22">
        <v>1</v>
      </c>
    </row>
    <row r="10" spans="1:5" x14ac:dyDescent="0.3">
      <c r="A10" s="24" t="s">
        <v>69</v>
      </c>
      <c r="B10" s="24" t="s">
        <v>103</v>
      </c>
      <c r="C10" s="22">
        <v>1</v>
      </c>
      <c r="D10" s="22">
        <v>1</v>
      </c>
      <c r="E10" s="22">
        <v>1</v>
      </c>
    </row>
    <row r="11" spans="1:5" x14ac:dyDescent="0.3">
      <c r="A11" s="24" t="s">
        <v>76</v>
      </c>
      <c r="B11" s="24" t="s">
        <v>104</v>
      </c>
      <c r="C11" s="22">
        <v>1</v>
      </c>
      <c r="D11" s="22">
        <v>1</v>
      </c>
      <c r="E11" s="22">
        <v>1</v>
      </c>
    </row>
    <row r="12" spans="1:5" x14ac:dyDescent="0.3">
      <c r="A12" s="24" t="s">
        <v>11</v>
      </c>
      <c r="B12" s="24" t="s">
        <v>103</v>
      </c>
      <c r="C12" s="22">
        <v>1</v>
      </c>
      <c r="D12" s="22">
        <v>1</v>
      </c>
      <c r="E12" s="22">
        <v>1</v>
      </c>
    </row>
    <row r="13" spans="1:5" x14ac:dyDescent="0.3">
      <c r="A13" s="24" t="s">
        <v>25</v>
      </c>
      <c r="B13" s="24" t="s">
        <v>103</v>
      </c>
      <c r="C13" s="22">
        <v>1</v>
      </c>
      <c r="D13" s="22">
        <v>1</v>
      </c>
      <c r="E13" s="22">
        <v>1</v>
      </c>
    </row>
    <row r="14" spans="1:5" x14ac:dyDescent="0.3">
      <c r="A14" s="24" t="s">
        <v>9</v>
      </c>
      <c r="B14" s="24" t="s">
        <v>103</v>
      </c>
      <c r="C14" s="22">
        <v>1</v>
      </c>
      <c r="D14" s="22">
        <v>1</v>
      </c>
      <c r="E14" s="22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C3E1-4BC5-4296-B6BF-4B7F7B9DC74F}">
  <dimension ref="A1:E6"/>
  <sheetViews>
    <sheetView workbookViewId="0">
      <selection activeCell="D5" sqref="D5"/>
    </sheetView>
  </sheetViews>
  <sheetFormatPr defaultRowHeight="14.4" x14ac:dyDescent="0.3"/>
  <cols>
    <col min="2" max="2" width="17.21875" customWidth="1"/>
    <col min="3" max="3" width="22.21875" customWidth="1"/>
    <col min="4" max="4" width="22" customWidth="1"/>
    <col min="5" max="5" width="16.21875" customWidth="1"/>
  </cols>
  <sheetData>
    <row r="1" spans="1:5" ht="43.2" x14ac:dyDescent="0.3">
      <c r="A1" s="21" t="s">
        <v>113</v>
      </c>
      <c r="B1" s="23" t="s">
        <v>86</v>
      </c>
      <c r="C1" s="23" t="s">
        <v>114</v>
      </c>
      <c r="D1" s="21" t="s">
        <v>92</v>
      </c>
      <c r="E1" s="23" t="s">
        <v>93</v>
      </c>
    </row>
    <row r="2" spans="1:5" x14ac:dyDescent="0.3">
      <c r="A2" s="24" t="s">
        <v>94</v>
      </c>
      <c r="B2" s="20">
        <v>18</v>
      </c>
      <c r="C2" s="26">
        <v>0.48599999999999999</v>
      </c>
      <c r="D2" s="20" t="s">
        <v>43</v>
      </c>
      <c r="E2" s="20">
        <v>4</v>
      </c>
    </row>
    <row r="3" spans="1:5" x14ac:dyDescent="0.3">
      <c r="A3" s="24" t="s">
        <v>95</v>
      </c>
      <c r="B3" s="20">
        <v>8</v>
      </c>
      <c r="C3" s="26">
        <v>0.216</v>
      </c>
      <c r="D3" s="20" t="s">
        <v>66</v>
      </c>
      <c r="E3" s="20">
        <v>2</v>
      </c>
    </row>
    <row r="4" spans="1:5" x14ac:dyDescent="0.3">
      <c r="A4" s="24" t="s">
        <v>96</v>
      </c>
      <c r="B4" s="20">
        <v>8</v>
      </c>
      <c r="C4" s="26">
        <v>0.216</v>
      </c>
      <c r="D4" s="20" t="s">
        <v>63</v>
      </c>
      <c r="E4" s="20">
        <v>2</v>
      </c>
    </row>
    <row r="5" spans="1:5" ht="28.8" x14ac:dyDescent="0.3">
      <c r="A5" s="24" t="s">
        <v>97</v>
      </c>
      <c r="B5" s="20">
        <v>3</v>
      </c>
      <c r="C5" s="26">
        <v>8.1000000000000003E-2</v>
      </c>
      <c r="D5" s="20" t="s">
        <v>79</v>
      </c>
      <c r="E5" s="20">
        <v>2</v>
      </c>
    </row>
    <row r="6" spans="1:5" x14ac:dyDescent="0.3">
      <c r="A6" s="24" t="s">
        <v>98</v>
      </c>
      <c r="B6" s="20">
        <v>0</v>
      </c>
      <c r="C6" s="26">
        <v>0</v>
      </c>
      <c r="D6" s="20" t="s">
        <v>99</v>
      </c>
      <c r="E6" s="20" t="s">
        <v>99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B77F-05DE-483E-AB9C-C6CBB762DD20}">
  <dimension ref="A1:C35"/>
  <sheetViews>
    <sheetView workbookViewId="0">
      <selection activeCell="C2" sqref="C2"/>
    </sheetView>
  </sheetViews>
  <sheetFormatPr defaultRowHeight="14.4" x14ac:dyDescent="0.3"/>
  <cols>
    <col min="1" max="1" width="14" customWidth="1"/>
    <col min="2" max="2" width="19.21875" customWidth="1"/>
    <col min="3" max="3" width="21.5546875" customWidth="1"/>
  </cols>
  <sheetData>
    <row r="1" spans="1:3" x14ac:dyDescent="0.3">
      <c r="A1" s="21" t="s">
        <v>3</v>
      </c>
      <c r="B1" s="21" t="s">
        <v>91</v>
      </c>
      <c r="C1" s="23" t="s">
        <v>86</v>
      </c>
    </row>
    <row r="2" spans="1:3" x14ac:dyDescent="0.3">
      <c r="A2" s="24" t="s">
        <v>64</v>
      </c>
      <c r="B2" s="24" t="s">
        <v>17</v>
      </c>
      <c r="C2" s="22">
        <v>3</v>
      </c>
    </row>
    <row r="3" spans="1:3" x14ac:dyDescent="0.3">
      <c r="A3" s="24" t="s">
        <v>87</v>
      </c>
      <c r="B3" s="24" t="s">
        <v>39</v>
      </c>
      <c r="C3" s="22">
        <v>3</v>
      </c>
    </row>
    <row r="4" spans="1:3" ht="28.8" x14ac:dyDescent="0.3">
      <c r="A4" s="24" t="s">
        <v>115</v>
      </c>
      <c r="B4" s="24" t="s">
        <v>73</v>
      </c>
      <c r="C4" s="22">
        <v>2</v>
      </c>
    </row>
    <row r="5" spans="1:3" x14ac:dyDescent="0.3">
      <c r="A5" s="24" t="s">
        <v>116</v>
      </c>
      <c r="B5" s="24" t="s">
        <v>73</v>
      </c>
      <c r="C5" s="22">
        <v>2</v>
      </c>
    </row>
    <row r="6" spans="1:3" x14ac:dyDescent="0.3">
      <c r="A6" s="24" t="s">
        <v>53</v>
      </c>
      <c r="B6" s="24" t="s">
        <v>22</v>
      </c>
      <c r="C6" s="22">
        <v>2</v>
      </c>
    </row>
    <row r="7" spans="1:3" ht="43.2" x14ac:dyDescent="0.3">
      <c r="A7" s="24" t="s">
        <v>88</v>
      </c>
      <c r="B7" s="24" t="s">
        <v>14</v>
      </c>
      <c r="C7" s="22">
        <v>2</v>
      </c>
    </row>
    <row r="8" spans="1:3" x14ac:dyDescent="0.3">
      <c r="A8" s="24" t="s">
        <v>36</v>
      </c>
      <c r="B8" s="24" t="s">
        <v>17</v>
      </c>
      <c r="C8" s="22">
        <v>2</v>
      </c>
    </row>
    <row r="9" spans="1:3" ht="57.6" x14ac:dyDescent="0.3">
      <c r="A9" s="24" t="s">
        <v>89</v>
      </c>
      <c r="B9" s="24" t="s">
        <v>58</v>
      </c>
      <c r="C9" s="22">
        <v>2</v>
      </c>
    </row>
    <row r="10" spans="1:3" x14ac:dyDescent="0.3">
      <c r="A10" s="24" t="s">
        <v>117</v>
      </c>
      <c r="B10" s="24" t="s">
        <v>39</v>
      </c>
      <c r="C10" s="22">
        <v>1</v>
      </c>
    </row>
    <row r="11" spans="1:3" x14ac:dyDescent="0.3">
      <c r="A11" s="24" t="s">
        <v>118</v>
      </c>
      <c r="B11" s="24" t="s">
        <v>9</v>
      </c>
      <c r="C11" s="22">
        <v>1</v>
      </c>
    </row>
    <row r="12" spans="1:3" x14ac:dyDescent="0.3">
      <c r="A12" s="24" t="s">
        <v>119</v>
      </c>
      <c r="B12" s="24" t="s">
        <v>14</v>
      </c>
      <c r="C12" s="22">
        <v>1</v>
      </c>
    </row>
    <row r="13" spans="1:3" ht="28.8" x14ac:dyDescent="0.3">
      <c r="A13" s="24" t="s">
        <v>120</v>
      </c>
      <c r="B13" s="24" t="s">
        <v>25</v>
      </c>
      <c r="C13" s="22">
        <v>1</v>
      </c>
    </row>
    <row r="14" spans="1:3" ht="28.8" x14ac:dyDescent="0.3">
      <c r="A14" s="24" t="s">
        <v>121</v>
      </c>
      <c r="B14" s="24" t="s">
        <v>39</v>
      </c>
      <c r="C14" s="22">
        <v>1</v>
      </c>
    </row>
    <row r="15" spans="1:3" ht="57.6" x14ac:dyDescent="0.3">
      <c r="A15" s="24" t="s">
        <v>122</v>
      </c>
      <c r="B15" s="24" t="s">
        <v>28</v>
      </c>
      <c r="C15" s="22">
        <v>1</v>
      </c>
    </row>
    <row r="16" spans="1:3" x14ac:dyDescent="0.3">
      <c r="A16" s="24" t="s">
        <v>123</v>
      </c>
      <c r="B16" s="24" t="s">
        <v>22</v>
      </c>
      <c r="C16" s="22">
        <v>1</v>
      </c>
    </row>
    <row r="17" spans="1:3" x14ac:dyDescent="0.3">
      <c r="A17" s="24" t="s">
        <v>124</v>
      </c>
      <c r="B17" s="24" t="s">
        <v>7</v>
      </c>
      <c r="C17" s="22">
        <v>1</v>
      </c>
    </row>
    <row r="18" spans="1:3" x14ac:dyDescent="0.3">
      <c r="A18" s="24" t="s">
        <v>125</v>
      </c>
      <c r="B18" s="24" t="s">
        <v>39</v>
      </c>
      <c r="C18" s="22">
        <v>1</v>
      </c>
    </row>
    <row r="19" spans="1:3" x14ac:dyDescent="0.3">
      <c r="A19" s="24" t="s">
        <v>126</v>
      </c>
      <c r="B19" s="24" t="s">
        <v>11</v>
      </c>
      <c r="C19" s="22">
        <v>1</v>
      </c>
    </row>
    <row r="20" spans="1:3" ht="28.8" x14ac:dyDescent="0.3">
      <c r="A20" s="24" t="s">
        <v>38</v>
      </c>
      <c r="B20" s="24" t="s">
        <v>39</v>
      </c>
      <c r="C20" s="22">
        <v>1</v>
      </c>
    </row>
    <row r="21" spans="1:3" ht="28.8" x14ac:dyDescent="0.3">
      <c r="A21" s="24" t="s">
        <v>127</v>
      </c>
      <c r="B21" s="24" t="s">
        <v>39</v>
      </c>
      <c r="C21" s="22">
        <v>1</v>
      </c>
    </row>
    <row r="22" spans="1:3" ht="28.8" x14ac:dyDescent="0.3">
      <c r="A22" s="24" t="s">
        <v>128</v>
      </c>
      <c r="B22" s="24" t="s">
        <v>17</v>
      </c>
      <c r="C22" s="22">
        <v>1</v>
      </c>
    </row>
    <row r="23" spans="1:3" ht="28.8" x14ac:dyDescent="0.3">
      <c r="A23" s="24" t="s">
        <v>129</v>
      </c>
      <c r="B23" s="24" t="s">
        <v>14</v>
      </c>
      <c r="C23" s="22">
        <v>1</v>
      </c>
    </row>
    <row r="24" spans="1:3" x14ac:dyDescent="0.3">
      <c r="A24" s="24" t="s">
        <v>130</v>
      </c>
      <c r="B24" s="24" t="s">
        <v>7</v>
      </c>
      <c r="C24" s="22">
        <v>1</v>
      </c>
    </row>
    <row r="25" spans="1:3" x14ac:dyDescent="0.3">
      <c r="A25" s="24" t="s">
        <v>131</v>
      </c>
      <c r="B25" s="24" t="s">
        <v>73</v>
      </c>
      <c r="C25" s="22">
        <v>1</v>
      </c>
    </row>
    <row r="26" spans="1:3" x14ac:dyDescent="0.3">
      <c r="A26" s="24" t="s">
        <v>132</v>
      </c>
      <c r="B26" s="24" t="s">
        <v>17</v>
      </c>
      <c r="C26" s="22">
        <v>1</v>
      </c>
    </row>
    <row r="27" spans="1:3" ht="28.8" x14ac:dyDescent="0.3">
      <c r="A27" s="24" t="s">
        <v>133</v>
      </c>
      <c r="B27" s="24" t="s">
        <v>73</v>
      </c>
      <c r="C27" s="22">
        <v>1</v>
      </c>
    </row>
    <row r="28" spans="1:3" ht="28.8" x14ac:dyDescent="0.3">
      <c r="A28" s="24" t="s">
        <v>134</v>
      </c>
      <c r="B28" s="24" t="s">
        <v>39</v>
      </c>
      <c r="C28" s="22">
        <v>1</v>
      </c>
    </row>
    <row r="29" spans="1:3" x14ac:dyDescent="0.3">
      <c r="A29" s="24" t="s">
        <v>135</v>
      </c>
      <c r="B29" s="24" t="s">
        <v>28</v>
      </c>
      <c r="C29" s="22">
        <v>1</v>
      </c>
    </row>
    <row r="30" spans="1:3" ht="28.8" x14ac:dyDescent="0.3">
      <c r="A30" s="24" t="s">
        <v>44</v>
      </c>
      <c r="B30" s="24" t="s">
        <v>39</v>
      </c>
      <c r="C30" s="22">
        <v>1</v>
      </c>
    </row>
    <row r="31" spans="1:3" x14ac:dyDescent="0.3">
      <c r="A31" s="24" t="s">
        <v>136</v>
      </c>
      <c r="B31" s="24" t="s">
        <v>76</v>
      </c>
      <c r="C31" s="22">
        <v>1</v>
      </c>
    </row>
    <row r="32" spans="1:3" ht="43.2" x14ac:dyDescent="0.3">
      <c r="A32" s="24" t="s">
        <v>137</v>
      </c>
      <c r="B32" s="24" t="s">
        <v>28</v>
      </c>
      <c r="C32" s="22">
        <v>1</v>
      </c>
    </row>
    <row r="33" spans="1:3" ht="28.8" x14ac:dyDescent="0.3">
      <c r="A33" s="24" t="s">
        <v>138</v>
      </c>
      <c r="B33" s="24" t="s">
        <v>39</v>
      </c>
      <c r="C33" s="22">
        <v>1</v>
      </c>
    </row>
    <row r="34" spans="1:3" x14ac:dyDescent="0.3">
      <c r="A34" s="24" t="s">
        <v>139</v>
      </c>
      <c r="B34" s="24" t="s">
        <v>69</v>
      </c>
      <c r="C34" s="22">
        <v>1</v>
      </c>
    </row>
    <row r="35" spans="1:3" x14ac:dyDescent="0.3">
      <c r="A35" s="24" t="s">
        <v>140</v>
      </c>
      <c r="B35" s="24" t="s">
        <v>14</v>
      </c>
      <c r="C35" s="22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B3CC-E073-4DD5-9FB8-3BE712CBD5B9}">
  <dimension ref="A1:B31"/>
  <sheetViews>
    <sheetView workbookViewId="0">
      <selection activeCell="B5" sqref="B5"/>
    </sheetView>
  </sheetViews>
  <sheetFormatPr defaultRowHeight="14.4" x14ac:dyDescent="0.3"/>
  <cols>
    <col min="1" max="1" width="30" customWidth="1"/>
    <col min="2" max="2" width="22.33203125" customWidth="1"/>
  </cols>
  <sheetData>
    <row r="1" spans="1:2" ht="28.8" x14ac:dyDescent="0.3">
      <c r="A1" s="21" t="s">
        <v>0</v>
      </c>
      <c r="B1" s="23" t="s">
        <v>86</v>
      </c>
    </row>
    <row r="2" spans="1:2" x14ac:dyDescent="0.3">
      <c r="A2" s="24" t="s">
        <v>43</v>
      </c>
      <c r="B2" s="22">
        <v>4</v>
      </c>
    </row>
    <row r="3" spans="1:2" x14ac:dyDescent="0.3">
      <c r="A3" s="24" t="s">
        <v>70</v>
      </c>
      <c r="B3" s="22">
        <v>4</v>
      </c>
    </row>
    <row r="4" spans="1:2" ht="57.6" x14ac:dyDescent="0.3">
      <c r="A4" s="24" t="s">
        <v>79</v>
      </c>
      <c r="B4" s="22">
        <v>3</v>
      </c>
    </row>
    <row r="5" spans="1:2" ht="43.2" x14ac:dyDescent="0.3">
      <c r="A5" s="24" t="s">
        <v>81</v>
      </c>
      <c r="B5" s="22">
        <v>3</v>
      </c>
    </row>
    <row r="6" spans="1:2" ht="28.8" x14ac:dyDescent="0.3">
      <c r="A6" s="24" t="s">
        <v>66</v>
      </c>
      <c r="B6" s="22">
        <v>3</v>
      </c>
    </row>
    <row r="7" spans="1:2" ht="28.8" x14ac:dyDescent="0.3">
      <c r="A7" s="24" t="s">
        <v>90</v>
      </c>
      <c r="B7" s="22">
        <v>2</v>
      </c>
    </row>
    <row r="8" spans="1:2" ht="28.8" x14ac:dyDescent="0.3">
      <c r="A8" s="24" t="s">
        <v>63</v>
      </c>
      <c r="B8" s="22">
        <v>2</v>
      </c>
    </row>
    <row r="9" spans="1:2" ht="86.4" x14ac:dyDescent="0.3">
      <c r="A9" s="24" t="s">
        <v>12</v>
      </c>
      <c r="B9" s="22">
        <v>1</v>
      </c>
    </row>
    <row r="10" spans="1:2" ht="86.4" x14ac:dyDescent="0.3">
      <c r="A10" s="24" t="s">
        <v>15</v>
      </c>
      <c r="B10" s="22">
        <v>1</v>
      </c>
    </row>
    <row r="11" spans="1:2" x14ac:dyDescent="0.3">
      <c r="A11" s="24" t="s">
        <v>18</v>
      </c>
      <c r="B11" s="22">
        <v>1</v>
      </c>
    </row>
    <row r="12" spans="1:2" ht="28.8" x14ac:dyDescent="0.3">
      <c r="A12" s="24" t="s">
        <v>20</v>
      </c>
      <c r="B12" s="22">
        <v>1</v>
      </c>
    </row>
    <row r="13" spans="1:2" ht="28.8" x14ac:dyDescent="0.3">
      <c r="A13" s="24" t="s">
        <v>23</v>
      </c>
      <c r="B13" s="22">
        <v>1</v>
      </c>
    </row>
    <row r="14" spans="1:2" ht="28.8" x14ac:dyDescent="0.3">
      <c r="A14" s="24" t="s">
        <v>26</v>
      </c>
      <c r="B14" s="22">
        <v>1</v>
      </c>
    </row>
    <row r="15" spans="1:2" ht="57.6" x14ac:dyDescent="0.3">
      <c r="A15" s="24" t="s">
        <v>29</v>
      </c>
      <c r="B15" s="22">
        <v>1</v>
      </c>
    </row>
    <row r="16" spans="1:2" ht="57.6" x14ac:dyDescent="0.3">
      <c r="A16" s="24" t="s">
        <v>32</v>
      </c>
      <c r="B16" s="22">
        <v>1</v>
      </c>
    </row>
    <row r="17" spans="1:2" ht="28.8" x14ac:dyDescent="0.3">
      <c r="A17" s="24" t="s">
        <v>34</v>
      </c>
      <c r="B17" s="22">
        <v>1</v>
      </c>
    </row>
    <row r="18" spans="1:2" ht="43.2" x14ac:dyDescent="0.3">
      <c r="A18" s="24" t="s">
        <v>80</v>
      </c>
      <c r="B18" s="22">
        <v>1</v>
      </c>
    </row>
    <row r="19" spans="1:2" ht="43.2" x14ac:dyDescent="0.3">
      <c r="A19" s="24" t="s">
        <v>37</v>
      </c>
      <c r="B19" s="22">
        <v>1</v>
      </c>
    </row>
    <row r="20" spans="1:2" ht="28.8" x14ac:dyDescent="0.3">
      <c r="A20" s="24" t="s">
        <v>41</v>
      </c>
      <c r="B20" s="22">
        <v>1</v>
      </c>
    </row>
    <row r="21" spans="1:2" x14ac:dyDescent="0.3">
      <c r="A21" s="24" t="s">
        <v>46</v>
      </c>
      <c r="B21" s="22">
        <v>1</v>
      </c>
    </row>
    <row r="22" spans="1:2" x14ac:dyDescent="0.3">
      <c r="A22" s="24" t="s">
        <v>48</v>
      </c>
      <c r="B22" s="22">
        <v>1</v>
      </c>
    </row>
    <row r="23" spans="1:2" ht="28.8" x14ac:dyDescent="0.3">
      <c r="A23" s="24" t="s">
        <v>83</v>
      </c>
      <c r="B23" s="22">
        <v>1</v>
      </c>
    </row>
    <row r="24" spans="1:2" ht="144" x14ac:dyDescent="0.3">
      <c r="A24" s="24" t="s">
        <v>52</v>
      </c>
      <c r="B24" s="22">
        <v>1</v>
      </c>
    </row>
    <row r="25" spans="1:2" ht="129.6" x14ac:dyDescent="0.3">
      <c r="A25" s="24" t="s">
        <v>54</v>
      </c>
      <c r="B25" s="22">
        <v>1</v>
      </c>
    </row>
    <row r="26" spans="1:2" ht="28.8" x14ac:dyDescent="0.3">
      <c r="A26" s="24" t="s">
        <v>55</v>
      </c>
      <c r="B26" s="22">
        <v>1</v>
      </c>
    </row>
    <row r="27" spans="1:2" ht="28.8" x14ac:dyDescent="0.3">
      <c r="A27" s="24" t="s">
        <v>59</v>
      </c>
      <c r="B27" s="22">
        <v>1</v>
      </c>
    </row>
    <row r="28" spans="1:2" x14ac:dyDescent="0.3">
      <c r="A28" s="24" t="s">
        <v>85</v>
      </c>
      <c r="B28" s="22">
        <v>1</v>
      </c>
    </row>
    <row r="29" spans="1:2" x14ac:dyDescent="0.3">
      <c r="A29" s="24" t="s">
        <v>61</v>
      </c>
      <c r="B29" s="22">
        <v>1</v>
      </c>
    </row>
    <row r="30" spans="1:2" x14ac:dyDescent="0.3">
      <c r="A30" s="24" t="s">
        <v>65</v>
      </c>
      <c r="B30" s="22">
        <v>1</v>
      </c>
    </row>
    <row r="31" spans="1:2" x14ac:dyDescent="0.3">
      <c r="A31" s="24" t="s">
        <v>71</v>
      </c>
      <c r="B31" s="22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26C42-8BE9-4DA1-BBCD-5B79D3B5D405}">
  <dimension ref="A1:C5"/>
  <sheetViews>
    <sheetView workbookViewId="0">
      <selection activeCell="O22" sqref="O22"/>
    </sheetView>
  </sheetViews>
  <sheetFormatPr defaultRowHeight="14.4" x14ac:dyDescent="0.3"/>
  <cols>
    <col min="1" max="1" width="14.33203125" customWidth="1"/>
    <col min="2" max="2" width="18.44140625" customWidth="1"/>
    <col min="3" max="3" width="27.109375" customWidth="1"/>
  </cols>
  <sheetData>
    <row r="1" spans="1:3" ht="28.8" x14ac:dyDescent="0.3">
      <c r="A1" s="21" t="s">
        <v>110</v>
      </c>
      <c r="B1" s="21" t="s">
        <v>2</v>
      </c>
      <c r="C1" s="23" t="s">
        <v>86</v>
      </c>
    </row>
    <row r="2" spans="1:3" ht="28.8" x14ac:dyDescent="0.3">
      <c r="A2" s="24" t="s">
        <v>103</v>
      </c>
      <c r="B2" s="24" t="s">
        <v>141</v>
      </c>
      <c r="C2" s="22">
        <v>14</v>
      </c>
    </row>
    <row r="3" spans="1:3" ht="28.8" x14ac:dyDescent="0.3">
      <c r="A3" s="24" t="s">
        <v>103</v>
      </c>
      <c r="B3" s="24" t="s">
        <v>35</v>
      </c>
      <c r="C3" s="22">
        <v>13</v>
      </c>
    </row>
    <row r="4" spans="1:3" x14ac:dyDescent="0.3">
      <c r="A4" s="24" t="s">
        <v>103</v>
      </c>
      <c r="B4" s="24" t="s">
        <v>5</v>
      </c>
      <c r="C4" s="22">
        <v>10</v>
      </c>
    </row>
    <row r="5" spans="1:3" ht="28.8" x14ac:dyDescent="0.3">
      <c r="A5" s="24" t="s">
        <v>104</v>
      </c>
      <c r="B5" s="24" t="s">
        <v>35</v>
      </c>
      <c r="C5" s="22">
        <v>7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0CEE-5E76-49EE-8721-8EBD652514E6}">
  <dimension ref="A1:E14"/>
  <sheetViews>
    <sheetView workbookViewId="0">
      <selection activeCell="I1" sqref="I1"/>
    </sheetView>
  </sheetViews>
  <sheetFormatPr defaultRowHeight="14.4" x14ac:dyDescent="0.3"/>
  <cols>
    <col min="2" max="2" width="8.88671875" customWidth="1"/>
    <col min="3" max="3" width="23.88671875" customWidth="1"/>
    <col min="4" max="4" width="21.6640625" customWidth="1"/>
    <col min="5" max="5" width="19.44140625" customWidth="1"/>
  </cols>
  <sheetData>
    <row r="1" spans="1:5" ht="43.2" x14ac:dyDescent="0.3">
      <c r="A1" s="21" t="s">
        <v>91</v>
      </c>
      <c r="B1" s="23" t="s">
        <v>86</v>
      </c>
      <c r="C1" s="21" t="s">
        <v>142</v>
      </c>
      <c r="D1" s="21" t="s">
        <v>92</v>
      </c>
      <c r="E1" s="23" t="s">
        <v>93</v>
      </c>
    </row>
    <row r="2" spans="1:5" ht="28.8" x14ac:dyDescent="0.3">
      <c r="A2" s="24" t="s">
        <v>39</v>
      </c>
      <c r="B2" s="22">
        <v>11</v>
      </c>
      <c r="C2" s="24" t="s">
        <v>141</v>
      </c>
      <c r="D2" s="24" t="s">
        <v>43</v>
      </c>
      <c r="E2" s="22">
        <v>4</v>
      </c>
    </row>
    <row r="3" spans="1:5" ht="28.8" x14ac:dyDescent="0.3">
      <c r="A3" s="24" t="s">
        <v>17</v>
      </c>
      <c r="B3" s="22">
        <v>7</v>
      </c>
      <c r="C3" s="24" t="s">
        <v>35</v>
      </c>
      <c r="D3" s="24" t="s">
        <v>63</v>
      </c>
      <c r="E3" s="22">
        <v>2</v>
      </c>
    </row>
    <row r="4" spans="1:5" ht="28.8" x14ac:dyDescent="0.3">
      <c r="A4" s="24" t="s">
        <v>73</v>
      </c>
      <c r="B4" s="22">
        <v>6</v>
      </c>
      <c r="C4" s="24" t="s">
        <v>35</v>
      </c>
      <c r="D4" s="24" t="s">
        <v>70</v>
      </c>
      <c r="E4" s="22">
        <v>4</v>
      </c>
    </row>
    <row r="5" spans="1:5" ht="43.2" x14ac:dyDescent="0.3">
      <c r="A5" s="24" t="s">
        <v>14</v>
      </c>
      <c r="B5" s="22">
        <v>5</v>
      </c>
      <c r="C5" s="24" t="s">
        <v>143</v>
      </c>
      <c r="D5" s="24" t="s">
        <v>81</v>
      </c>
      <c r="E5" s="22">
        <v>2</v>
      </c>
    </row>
    <row r="6" spans="1:5" ht="72" x14ac:dyDescent="0.3">
      <c r="A6" s="24" t="s">
        <v>22</v>
      </c>
      <c r="B6" s="22">
        <v>3</v>
      </c>
      <c r="C6" s="24" t="s">
        <v>35</v>
      </c>
      <c r="D6" s="24" t="s">
        <v>157</v>
      </c>
      <c r="E6" s="22">
        <v>1</v>
      </c>
    </row>
    <row r="7" spans="1:5" ht="43.2" x14ac:dyDescent="0.3">
      <c r="A7" s="24" t="s">
        <v>28</v>
      </c>
      <c r="B7" s="22">
        <v>3</v>
      </c>
      <c r="C7" s="24" t="s">
        <v>35</v>
      </c>
      <c r="D7" s="24" t="s">
        <v>158</v>
      </c>
      <c r="E7" s="22">
        <v>1</v>
      </c>
    </row>
    <row r="8" spans="1:5" ht="28.8" x14ac:dyDescent="0.3">
      <c r="A8" s="24" t="s">
        <v>7</v>
      </c>
      <c r="B8" s="22">
        <v>2</v>
      </c>
      <c r="C8" s="24" t="s">
        <v>143</v>
      </c>
      <c r="D8" s="24" t="s">
        <v>159</v>
      </c>
      <c r="E8" s="22">
        <v>1</v>
      </c>
    </row>
    <row r="9" spans="1:5" ht="28.8" x14ac:dyDescent="0.3">
      <c r="A9" s="24" t="s">
        <v>58</v>
      </c>
      <c r="B9" s="22">
        <v>2</v>
      </c>
      <c r="C9" s="24" t="s">
        <v>141</v>
      </c>
      <c r="D9" s="24" t="s">
        <v>90</v>
      </c>
      <c r="E9" s="22">
        <v>2</v>
      </c>
    </row>
    <row r="10" spans="1:5" ht="28.8" x14ac:dyDescent="0.3">
      <c r="A10" s="24" t="s">
        <v>69</v>
      </c>
      <c r="B10" s="22">
        <v>1</v>
      </c>
      <c r="C10" s="24" t="s">
        <v>35</v>
      </c>
      <c r="D10" s="24" t="s">
        <v>66</v>
      </c>
      <c r="E10" s="22">
        <v>1</v>
      </c>
    </row>
    <row r="11" spans="1:5" ht="28.8" x14ac:dyDescent="0.3">
      <c r="A11" s="24" t="s">
        <v>76</v>
      </c>
      <c r="B11" s="22">
        <v>1</v>
      </c>
      <c r="C11" s="24" t="s">
        <v>35</v>
      </c>
      <c r="D11" s="24" t="s">
        <v>85</v>
      </c>
      <c r="E11" s="22">
        <v>1</v>
      </c>
    </row>
    <row r="12" spans="1:5" ht="57.6" x14ac:dyDescent="0.3">
      <c r="A12" s="24" t="s">
        <v>11</v>
      </c>
      <c r="B12" s="22">
        <v>1</v>
      </c>
      <c r="C12" s="24" t="s">
        <v>5</v>
      </c>
      <c r="D12" s="24" t="s">
        <v>79</v>
      </c>
      <c r="E12" s="22">
        <v>1</v>
      </c>
    </row>
    <row r="13" spans="1:5" ht="28.8" x14ac:dyDescent="0.3">
      <c r="A13" s="24" t="s">
        <v>25</v>
      </c>
      <c r="B13" s="22">
        <v>1</v>
      </c>
      <c r="C13" s="24" t="s">
        <v>5</v>
      </c>
      <c r="D13" s="24" t="s">
        <v>23</v>
      </c>
      <c r="E13" s="22">
        <v>1</v>
      </c>
    </row>
    <row r="14" spans="1:5" ht="57.6" x14ac:dyDescent="0.3">
      <c r="A14" s="24" t="s">
        <v>9</v>
      </c>
      <c r="B14" s="22">
        <v>1</v>
      </c>
      <c r="C14" s="24" t="s">
        <v>5</v>
      </c>
      <c r="D14" s="24" t="s">
        <v>79</v>
      </c>
      <c r="E14" s="22">
        <v>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949E-C4DA-491D-859D-F9290A5A03DD}">
  <dimension ref="A1:B14"/>
  <sheetViews>
    <sheetView workbookViewId="0">
      <selection activeCell="L10" sqref="L10"/>
    </sheetView>
  </sheetViews>
  <sheetFormatPr defaultRowHeight="14.4" x14ac:dyDescent="0.3"/>
  <cols>
    <col min="1" max="1" width="27.77734375" customWidth="1"/>
    <col min="2" max="2" width="53.88671875" customWidth="1"/>
  </cols>
  <sheetData>
    <row r="1" spans="1:2" ht="43.2" x14ac:dyDescent="0.3">
      <c r="A1" s="21" t="s">
        <v>91</v>
      </c>
      <c r="B1" s="21" t="s">
        <v>144</v>
      </c>
    </row>
    <row r="2" spans="1:2" ht="43.2" x14ac:dyDescent="0.3">
      <c r="A2" s="24" t="s">
        <v>39</v>
      </c>
      <c r="B2" s="24" t="s">
        <v>145</v>
      </c>
    </row>
    <row r="3" spans="1:2" ht="43.2" x14ac:dyDescent="0.3">
      <c r="A3" s="24" t="s">
        <v>17</v>
      </c>
      <c r="B3" s="24" t="s">
        <v>146</v>
      </c>
    </row>
    <row r="4" spans="1:2" ht="72" x14ac:dyDescent="0.3">
      <c r="A4" s="24" t="s">
        <v>73</v>
      </c>
      <c r="B4" s="24" t="s">
        <v>147</v>
      </c>
    </row>
    <row r="5" spans="1:2" ht="28.8" x14ac:dyDescent="0.3">
      <c r="A5" s="24" t="s">
        <v>14</v>
      </c>
      <c r="B5" s="24" t="s">
        <v>148</v>
      </c>
    </row>
    <row r="6" spans="1:2" ht="43.2" x14ac:dyDescent="0.3">
      <c r="A6" s="24" t="s">
        <v>22</v>
      </c>
      <c r="B6" s="24" t="s">
        <v>149</v>
      </c>
    </row>
    <row r="7" spans="1:2" x14ac:dyDescent="0.3">
      <c r="A7" s="24" t="s">
        <v>28</v>
      </c>
      <c r="B7" s="24" t="s">
        <v>150</v>
      </c>
    </row>
    <row r="8" spans="1:2" ht="72" x14ac:dyDescent="0.3">
      <c r="A8" s="24" t="s">
        <v>7</v>
      </c>
      <c r="B8" s="24" t="s">
        <v>151</v>
      </c>
    </row>
    <row r="9" spans="1:2" ht="28.8" x14ac:dyDescent="0.3">
      <c r="A9" s="24" t="s">
        <v>58</v>
      </c>
      <c r="B9" s="24" t="s">
        <v>152</v>
      </c>
    </row>
    <row r="10" spans="1:2" ht="43.2" x14ac:dyDescent="0.3">
      <c r="A10" s="24" t="s">
        <v>69</v>
      </c>
      <c r="B10" s="24" t="s">
        <v>153</v>
      </c>
    </row>
    <row r="11" spans="1:2" x14ac:dyDescent="0.3">
      <c r="A11" s="24" t="s">
        <v>76</v>
      </c>
      <c r="B11" s="24" t="s">
        <v>154</v>
      </c>
    </row>
    <row r="12" spans="1:2" ht="57.6" x14ac:dyDescent="0.3">
      <c r="A12" s="24" t="s">
        <v>11</v>
      </c>
      <c r="B12" s="24" t="s">
        <v>155</v>
      </c>
    </row>
    <row r="13" spans="1:2" ht="28.8" x14ac:dyDescent="0.3">
      <c r="A13" s="24" t="s">
        <v>25</v>
      </c>
      <c r="B13" s="24" t="s">
        <v>156</v>
      </c>
    </row>
    <row r="14" spans="1:2" ht="57.6" x14ac:dyDescent="0.3">
      <c r="A14" s="24" t="s">
        <v>9</v>
      </c>
      <c r="B14" s="24" t="s">
        <v>155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Vendas_V2</vt:lpstr>
      <vt:lpstr>Resumo_Geral_Vendas</vt:lpstr>
      <vt:lpstr>Hotzones gerais por região</vt:lpstr>
      <vt:lpstr>Hotzones_Macroregião</vt:lpstr>
      <vt:lpstr>Vendas X Cidades</vt:lpstr>
      <vt:lpstr>Ranking_Equipamentos</vt:lpstr>
      <vt:lpstr>Segmentos por Mercado</vt:lpstr>
      <vt:lpstr>Equip_lider_região</vt:lpstr>
      <vt:lpstr>Equip_model_região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Borges</dc:creator>
  <cp:lastModifiedBy>Renato Borges</cp:lastModifiedBy>
  <dcterms:created xsi:type="dcterms:W3CDTF">2026-04-07T20:47:04Z</dcterms:created>
  <dcterms:modified xsi:type="dcterms:W3CDTF">2026-04-10T19:46:26Z</dcterms:modified>
</cp:coreProperties>
</file>